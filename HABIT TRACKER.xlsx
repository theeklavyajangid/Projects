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BIT TRACKER" sheetId="1" r:id="rId5"/>
  </sheets>
  <definedNames/>
  <calcPr/>
</workbook>
</file>

<file path=xl/sharedStrings.xml><?xml version="1.0" encoding="utf-8"?>
<sst xmlns="http://schemas.openxmlformats.org/spreadsheetml/2006/main" count="62" uniqueCount="44">
  <si>
    <t>January</t>
  </si>
  <si>
    <t>HABIT TRACKER</t>
  </si>
  <si>
    <t>OVERVIE DAILY PROGRESS</t>
  </si>
  <si>
    <t>February</t>
  </si>
  <si>
    <t>COMPLETED</t>
  </si>
  <si>
    <t>March</t>
  </si>
  <si>
    <t>LEFT</t>
  </si>
  <si>
    <t>April</t>
  </si>
  <si>
    <t>TARGET</t>
  </si>
  <si>
    <t>May</t>
  </si>
  <si>
    <t>June</t>
  </si>
  <si>
    <t>July</t>
  </si>
  <si>
    <t>August</t>
  </si>
  <si>
    <t>CALENDER SETTINGS</t>
  </si>
  <si>
    <t>September</t>
  </si>
  <si>
    <t>YEAR</t>
  </si>
  <si>
    <t>October</t>
  </si>
  <si>
    <t>MONTH</t>
  </si>
  <si>
    <t>November</t>
  </si>
  <si>
    <t>December</t>
  </si>
  <si>
    <t>OVERVIEW</t>
  </si>
  <si>
    <t>WEEK 1</t>
  </si>
  <si>
    <t>WEEK 2</t>
  </si>
  <si>
    <t>WEEK 3</t>
  </si>
  <si>
    <t>WEEK 4</t>
  </si>
  <si>
    <t>WEEK 5</t>
  </si>
  <si>
    <t>TOP 10 DAILY HABITS</t>
  </si>
  <si>
    <t>GLOBAL PROCESS</t>
  </si>
  <si>
    <t>COMPLTED</t>
  </si>
  <si>
    <t>GOAL</t>
  </si>
  <si>
    <t>WEEKLY PROGRESS</t>
  </si>
  <si>
    <t>DAILY HABITS</t>
  </si>
  <si>
    <t>GOALS</t>
  </si>
  <si>
    <t>PROGRESSION</t>
  </si>
  <si>
    <t>Good Sleep Timing</t>
  </si>
  <si>
    <t xml:space="preserve">Milk Shake </t>
  </si>
  <si>
    <t>Healthy Breakfast</t>
  </si>
  <si>
    <t>Pre Workout Meal</t>
  </si>
  <si>
    <t>GYM</t>
  </si>
  <si>
    <t>No Games</t>
  </si>
  <si>
    <t>Learning &amp; Coding</t>
  </si>
  <si>
    <t>No Junk Food</t>
  </si>
  <si>
    <t>No Softdrinks</t>
  </si>
  <si>
    <t>Less Screen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</si>
</sst>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"/>
    <numFmt numFmtId="165" formatCode="d"/>
  </numFmts>
  <fonts count="15">
    <font>
      <sz val="10.0"/>
      <color rgb="FF000000"/>
      <name val="Arial"/>
      <scheme val="minor"/>
    </font>
    <font>
      <color rgb="FFFFFFFF"/>
      <name val="Calibri"/>
    </font>
    <font>
      <color theme="1"/>
      <name val="Calibri"/>
    </font>
    <font>
      <b/>
      <sz val="19.0"/>
      <color theme="1"/>
      <name val="Calibri"/>
    </font>
    <font/>
    <font>
      <b/>
      <sz val="12.0"/>
      <color theme="1"/>
      <name val="Calibri"/>
    </font>
    <font>
      <i/>
      <sz val="13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b/>
      <color theme="1"/>
      <name val="Calibri"/>
    </font>
    <font>
      <color rgb="FF000000"/>
      <name val="Calibri"/>
    </font>
    <font>
      <sz val="8.0"/>
      <color theme="1"/>
      <name val="Calibri"/>
    </font>
    <font>
      <b/>
      <sz val="13.0"/>
      <color theme="1"/>
      <name val="Calibri"/>
    </font>
    <font>
      <b/>
      <sz val="20.0"/>
      <color theme="1"/>
      <name val="Calibri"/>
    </font>
    <font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9FC5E8"/>
        <bgColor rgb="FF9FC5E8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F9F9"/>
        <bgColor rgb="FFFFF9F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9F9F9"/>
        <bgColor rgb="FFF9F9F9"/>
      </patternFill>
    </fill>
  </fills>
  <borders count="8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medium">
        <color rgb="FF000000"/>
      </right>
      <bottom style="thin">
        <color rgb="FFD9D9D9"/>
      </bottom>
    </border>
    <border>
      <left style="medium">
        <color rgb="FF000000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medium">
        <color rgb="FF000000"/>
      </bottom>
    </border>
    <border>
      <left style="thin">
        <color rgb="FFD9D9D9"/>
      </left>
      <top style="thin">
        <color rgb="FFD9D9D9"/>
      </top>
      <bottom style="medium">
        <color rgb="FF000000"/>
      </bottom>
    </border>
    <border>
      <top style="thin">
        <color rgb="FFD9D9D9"/>
      </top>
      <bottom style="medium">
        <color rgb="FF000000"/>
      </bottom>
    </border>
    <border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medium">
        <color rgb="FF000000"/>
      </right>
      <bottom style="thin">
        <color rgb="FFCCCCCC"/>
      </bottom>
    </border>
    <border>
      <left style="thin">
        <color rgb="FF000000"/>
      </left>
      <right style="hair">
        <color rgb="FFD9D9D9"/>
      </right>
      <bottom style="hair">
        <color rgb="FFD9D9D9"/>
      </bottom>
    </border>
    <border>
      <left style="hair">
        <color rgb="FFD9D9D9"/>
      </left>
      <right style="hair">
        <color rgb="FFD9D9D9"/>
      </right>
      <bottom style="hair">
        <color rgb="FFD9D9D9"/>
      </bottom>
    </border>
    <border>
      <left style="hair">
        <color rgb="FFD9D9D9"/>
      </left>
      <bottom style="hair">
        <color rgb="FFD9D9D9"/>
      </bottom>
    </border>
    <border>
      <bottom style="hair">
        <color rgb="FFD9D9D9"/>
      </bottom>
    </border>
    <border>
      <right style="thin">
        <color rgb="FF000000"/>
      </right>
      <bottom style="hair">
        <color rgb="FFD9D9D9"/>
      </bottom>
    </border>
    <border>
      <left style="medium">
        <color rgb="FF000000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  <border>
      <left style="hair">
        <color rgb="FFD9D9D9"/>
      </left>
      <top style="hair">
        <color rgb="FFD9D9D9"/>
      </top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right style="thin">
        <color rgb="FF000000"/>
      </right>
      <top style="hair">
        <color rgb="FFD9D9D9"/>
      </top>
      <bottom style="hair">
        <color rgb="FFD9D9D9"/>
      </bottom>
    </border>
    <border>
      <left style="medium">
        <color rgb="FF000000"/>
      </left>
      <top style="thin">
        <color rgb="FFCCCCCC"/>
      </top>
      <bottom style="medium">
        <color rgb="FF000000"/>
      </bottom>
    </border>
    <border>
      <top style="thin">
        <color rgb="FFCCCCCC"/>
      </top>
      <bottom style="medium">
        <color rgb="FF000000"/>
      </bottom>
    </border>
    <border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top style="thin">
        <color rgb="FFCCCCCC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</border>
    <border>
      <left style="thin">
        <color rgb="FF000000"/>
      </left>
      <right style="hair">
        <color rgb="FFD9D9D9"/>
      </right>
      <top style="hair">
        <color rgb="FFD9D9D9"/>
      </top>
      <bottom style="thin">
        <color rgb="FF000000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thin">
        <color rgb="FF000000"/>
      </bottom>
    </border>
    <border>
      <left style="hair">
        <color rgb="FFD9D9D9"/>
      </left>
      <top style="hair">
        <color rgb="FFD9D9D9"/>
      </top>
      <bottom style="thin">
        <color rgb="FF000000"/>
      </bottom>
    </border>
    <border>
      <top style="hair">
        <color rgb="FFD9D9D9"/>
      </top>
      <bottom style="thin">
        <color rgb="FF000000"/>
      </bottom>
    </border>
    <border>
      <right style="thin">
        <color rgb="FF000000"/>
      </right>
      <top style="hair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right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0" fontId="2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" fillId="4" fontId="2" numFmtId="0" xfId="0" applyAlignment="1" applyBorder="1" applyFill="1" applyFont="1">
      <alignment horizontal="center" readingOrder="0" vertical="center"/>
    </xf>
    <xf borderId="4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5" fillId="0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1" fillId="2" fontId="7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2" fillId="4" fontId="5" numFmtId="0" xfId="0" applyAlignment="1" applyBorder="1" applyFont="1">
      <alignment horizontal="center" readingOrder="0" vertical="center"/>
    </xf>
    <xf borderId="2" fillId="5" fontId="5" numFmtId="0" xfId="0" applyAlignment="1" applyBorder="1" applyFill="1" applyFont="1">
      <alignment horizontal="center" readingOrder="0" vertical="center"/>
    </xf>
    <xf borderId="2" fillId="6" fontId="5" numFmtId="0" xfId="0" applyAlignment="1" applyBorder="1" applyFill="1" applyFont="1">
      <alignment horizontal="center" readingOrder="0" vertical="center"/>
    </xf>
    <xf borderId="2" fillId="7" fontId="5" numFmtId="0" xfId="0" applyAlignment="1" applyBorder="1" applyFill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0" fillId="8" fontId="9" numFmtId="164" xfId="0" applyAlignment="1" applyFill="1" applyFont="1" applyNumberFormat="1">
      <alignment horizontal="center" vertical="center"/>
    </xf>
    <xf borderId="5" fillId="8" fontId="9" numFmtId="164" xfId="0" applyAlignment="1" applyBorder="1" applyFont="1" applyNumberFormat="1">
      <alignment horizontal="center" vertical="center"/>
    </xf>
    <xf borderId="10" fillId="8" fontId="9" numFmtId="165" xfId="0" applyAlignment="1" applyBorder="1" applyFont="1" applyNumberFormat="1">
      <alignment horizontal="center" readingOrder="0" vertical="center"/>
    </xf>
    <xf borderId="11" fillId="8" fontId="9" numFmtId="165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4" fillId="9" fontId="7" numFmtId="0" xfId="0" applyAlignment="1" applyBorder="1" applyFill="1" applyFont="1">
      <alignment horizontal="center" readingOrder="0" vertical="bottom"/>
    </xf>
    <xf borderId="0" fillId="9" fontId="2" numFmtId="0" xfId="0" applyAlignment="1" applyFont="1">
      <alignment horizontal="center" readingOrder="0" vertical="center"/>
    </xf>
    <xf borderId="17" fillId="10" fontId="2" numFmtId="0" xfId="0" applyAlignment="1" applyBorder="1" applyFill="1" applyFont="1">
      <alignment horizontal="center" vertical="center"/>
    </xf>
    <xf borderId="18" fillId="0" fontId="4" numFmtId="0" xfId="0" applyBorder="1" applyFont="1"/>
    <xf borderId="19" fillId="0" fontId="4" numFmtId="0" xfId="0" applyBorder="1" applyFont="1"/>
    <xf borderId="20" fillId="10" fontId="2" numFmtId="0" xfId="0" applyAlignment="1" applyBorder="1" applyFont="1">
      <alignment horizontal="center" readingOrder="0" vertical="center"/>
    </xf>
    <xf borderId="21" fillId="10" fontId="2" numFmtId="0" xfId="0" applyAlignment="1" applyBorder="1" applyFon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0" fillId="0" fontId="11" numFmtId="0" xfId="0" applyAlignment="1" applyFont="1">
      <alignment horizontal="center" vertical="center"/>
    </xf>
    <xf borderId="4" fillId="9" fontId="9" numFmtId="0" xfId="0" applyAlignment="1" applyBorder="1" applyFont="1">
      <alignment horizontal="center" readingOrder="0" vertical="center"/>
    </xf>
    <xf borderId="4" fillId="9" fontId="9" numFmtId="9" xfId="0" applyAlignment="1" applyBorder="1" applyFont="1" applyNumberFormat="1">
      <alignment horizontal="center" readingOrder="0" vertical="center"/>
    </xf>
    <xf borderId="6" fillId="9" fontId="9" numFmtId="0" xfId="0" applyAlignment="1" applyBorder="1" applyFont="1">
      <alignment horizontal="center" readingOrder="0" vertical="center"/>
    </xf>
    <xf borderId="7" fillId="9" fontId="9" numFmtId="0" xfId="0" applyAlignment="1" applyBorder="1" applyFont="1">
      <alignment horizontal="center" readingOrder="0" vertical="center"/>
    </xf>
    <xf borderId="8" fillId="9" fontId="9" numFmtId="0" xfId="0" applyAlignment="1" applyBorder="1" applyFont="1">
      <alignment horizontal="center" readingOrder="0" vertical="center"/>
    </xf>
    <xf borderId="23" fillId="9" fontId="9" numFmtId="0" xfId="0" applyAlignment="1" applyBorder="1" applyFont="1">
      <alignment horizontal="center" readingOrder="0" vertical="center"/>
    </xf>
    <xf borderId="24" fillId="0" fontId="4" numFmtId="0" xfId="0" applyBorder="1" applyFont="1"/>
    <xf borderId="25" fillId="0" fontId="4" numFmtId="0" xfId="0" applyBorder="1" applyFont="1"/>
    <xf borderId="26" fillId="9" fontId="2" numFmtId="0" xfId="0" applyAlignment="1" applyBorder="1" applyFont="1">
      <alignment horizontal="center" readingOrder="0" vertical="center"/>
    </xf>
    <xf borderId="27" fillId="9" fontId="2" numFmtId="0" xfId="0" applyAlignment="1" applyBorder="1" applyFont="1">
      <alignment horizontal="center" readingOrder="0" vertical="center"/>
    </xf>
    <xf borderId="28" fillId="9" fontId="9" numFmtId="0" xfId="0" applyAlignment="1" applyBorder="1" applyFont="1">
      <alignment horizontal="center" readingOrder="0" vertical="center"/>
    </xf>
    <xf borderId="29" fillId="0" fontId="4" numFmtId="0" xfId="0" applyBorder="1" applyFont="1"/>
    <xf borderId="30" fillId="0" fontId="4" numFmtId="0" xfId="0" applyBorder="1" applyFont="1"/>
    <xf borderId="31" fillId="9" fontId="2" numFmtId="0" xfId="0" applyAlignment="1" applyBorder="1" applyFont="1">
      <alignment horizontal="center" vertical="center"/>
    </xf>
    <xf borderId="32" fillId="9" fontId="2" numFmtId="0" xfId="0" applyAlignment="1" applyBorder="1" applyFont="1">
      <alignment horizontal="center" vertical="center"/>
    </xf>
    <xf borderId="33" fillId="9" fontId="12" numFmtId="0" xfId="0" applyAlignment="1" applyBorder="1" applyFont="1">
      <alignment horizontal="center" readingOrder="0" vertical="center"/>
    </xf>
    <xf borderId="34" fillId="0" fontId="4" numFmtId="0" xfId="0" applyBorder="1" applyFont="1"/>
    <xf borderId="35" fillId="0" fontId="4" numFmtId="0" xfId="0" applyBorder="1" applyFont="1"/>
    <xf borderId="36" fillId="9" fontId="2" numFmtId="0" xfId="0" applyAlignment="1" applyBorder="1" applyFont="1">
      <alignment horizontal="center" vertical="center"/>
    </xf>
    <xf borderId="37" fillId="0" fontId="4" numFmtId="0" xfId="0" applyBorder="1" applyFont="1"/>
    <xf borderId="36" fillId="9" fontId="2" numFmtId="9" xfId="0" applyAlignment="1" applyBorder="1" applyFont="1" applyNumberFormat="1">
      <alignment horizontal="center" vertical="center"/>
    </xf>
    <xf borderId="31" fillId="9" fontId="2" numFmtId="9" xfId="0" applyAlignment="1" applyBorder="1" applyFont="1" applyNumberFormat="1">
      <alignment horizontal="center" vertical="center"/>
    </xf>
    <xf borderId="38" fillId="0" fontId="4" numFmtId="0" xfId="0" applyBorder="1" applyFont="1"/>
    <xf borderId="39" fillId="9" fontId="2" numFmtId="0" xfId="0" applyAlignment="1" applyBorder="1" applyFont="1">
      <alignment horizontal="center" vertical="center"/>
    </xf>
    <xf borderId="40" fillId="0" fontId="4" numFmtId="0" xfId="0" applyBorder="1" applyFont="1"/>
    <xf borderId="41" fillId="0" fontId="4" numFmtId="0" xfId="0" applyBorder="1" applyFont="1"/>
    <xf borderId="42" fillId="9" fontId="2" numFmtId="0" xfId="0" applyAlignment="1" applyBorder="1" applyFont="1">
      <alignment horizontal="center" vertical="center"/>
    </xf>
    <xf borderId="43" fillId="9" fontId="2" numFmtId="0" xfId="0" applyAlignment="1" applyBorder="1" applyFont="1">
      <alignment horizontal="center" vertical="center"/>
    </xf>
    <xf borderId="44" fillId="10" fontId="2" numFmtId="0" xfId="0" applyAlignment="1" applyBorder="1" applyFont="1">
      <alignment horizontal="center" vertical="center"/>
    </xf>
    <xf borderId="45" fillId="0" fontId="4" numFmtId="0" xfId="0" applyBorder="1" applyFont="1"/>
    <xf borderId="46" fillId="0" fontId="4" numFmtId="0" xfId="0" applyBorder="1" applyFont="1"/>
    <xf borderId="0" fillId="0" fontId="2" numFmtId="0" xfId="0" applyAlignment="1" applyFont="1">
      <alignment horizontal="left" readingOrder="0" vertical="center"/>
    </xf>
    <xf borderId="1" fillId="4" fontId="13" numFmtId="0" xfId="0" applyAlignment="1" applyBorder="1" applyFont="1">
      <alignment horizontal="center" readingOrder="0" vertical="center"/>
    </xf>
    <xf borderId="2" fillId="11" fontId="7" numFmtId="0" xfId="0" applyAlignment="1" applyBorder="1" applyFill="1" applyFont="1">
      <alignment horizontal="center" readingOrder="0" vertical="center"/>
    </xf>
    <xf borderId="47" fillId="12" fontId="9" numFmtId="0" xfId="0" applyAlignment="1" applyBorder="1" applyFill="1" applyFont="1">
      <alignment horizontal="center" readingOrder="0" textRotation="90" vertical="center"/>
    </xf>
    <xf borderId="13" fillId="12" fontId="9" numFmtId="0" xfId="0" applyAlignment="1" applyBorder="1" applyFont="1">
      <alignment horizontal="center" readingOrder="0" textRotation="90" vertical="center"/>
    </xf>
    <xf borderId="13" fillId="12" fontId="9" numFmtId="0" xfId="0" applyAlignment="1" applyBorder="1" applyFont="1">
      <alignment horizontal="center" readingOrder="0" textRotation="0" vertical="top"/>
    </xf>
    <xf borderId="48" fillId="0" fontId="4" numFmtId="0" xfId="0" applyBorder="1" applyFont="1"/>
    <xf borderId="49" fillId="0" fontId="4" numFmtId="0" xfId="0" applyBorder="1" applyFont="1"/>
    <xf borderId="0" fillId="12" fontId="9" numFmtId="9" xfId="0" applyAlignment="1" applyFont="1" applyNumberFormat="1">
      <alignment horizontal="center" readingOrder="0" textRotation="90" vertical="center"/>
    </xf>
    <xf borderId="0" fillId="12" fontId="2" numFmtId="0" xfId="0" applyAlignment="1" applyFont="1">
      <alignment horizontal="center" vertical="center"/>
    </xf>
    <xf borderId="50" fillId="0" fontId="4" numFmtId="0" xfId="0" applyBorder="1" applyFont="1"/>
    <xf borderId="51" fillId="13" fontId="2" numFmtId="0" xfId="0" applyAlignment="1" applyBorder="1" applyFill="1" applyFont="1">
      <alignment horizontal="center" readingOrder="0" vertical="center"/>
    </xf>
    <xf borderId="52" fillId="0" fontId="4" numFmtId="0" xfId="0" applyBorder="1" applyFont="1"/>
    <xf borderId="53" fillId="0" fontId="4" numFmtId="0" xfId="0" applyBorder="1" applyFont="1"/>
    <xf borderId="54" fillId="13" fontId="2" numFmtId="0" xfId="0" applyAlignment="1" applyBorder="1" applyFont="1">
      <alignment horizontal="center" readingOrder="0" vertical="center"/>
    </xf>
    <xf borderId="55" fillId="13" fontId="2" numFmtId="0" xfId="0" applyAlignment="1" applyBorder="1" applyFont="1">
      <alignment horizontal="center" readingOrder="0" vertical="center"/>
    </xf>
    <xf borderId="55" fillId="13" fontId="2" numFmtId="0" xfId="0" applyAlignment="1" applyBorder="1" applyFont="1">
      <alignment horizontal="center" vertical="center"/>
    </xf>
    <xf borderId="56" fillId="13" fontId="2" numFmtId="0" xfId="0" applyAlignment="1" applyBorder="1" applyFont="1">
      <alignment horizontal="center" vertical="center"/>
    </xf>
    <xf borderId="57" fillId="13" fontId="2" numFmtId="0" xfId="0" applyAlignment="1" applyBorder="1" applyFont="1">
      <alignment horizontal="center" readingOrder="0" vertical="center"/>
    </xf>
    <xf borderId="58" fillId="13" fontId="2" numFmtId="0" xfId="0" applyAlignment="1" applyBorder="1" applyFont="1">
      <alignment horizontal="center" vertical="center"/>
    </xf>
    <xf borderId="58" fillId="13" fontId="2" numFmtId="9" xfId="0" applyAlignment="1" applyBorder="1" applyFont="1" applyNumberFormat="1">
      <alignment horizontal="center" readingOrder="0" vertical="center"/>
    </xf>
    <xf borderId="59" fillId="13" fontId="2" numFmtId="0" xfId="0" applyAlignment="1" applyBorder="1" applyFont="1">
      <alignment horizontal="center" vertical="center"/>
    </xf>
    <xf borderId="60" fillId="0" fontId="4" numFmtId="0" xfId="0" applyBorder="1" applyFont="1"/>
    <xf borderId="61" fillId="0" fontId="4" numFmtId="0" xfId="0" applyBorder="1" applyFont="1"/>
    <xf borderId="0" fillId="0" fontId="1" numFmtId="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62" fillId="13" fontId="2" numFmtId="0" xfId="0" applyAlignment="1" applyBorder="1" applyFont="1">
      <alignment horizontal="center" readingOrder="0" vertical="center"/>
    </xf>
    <xf borderId="63" fillId="0" fontId="4" numFmtId="0" xfId="0" applyBorder="1" applyFont="1"/>
    <xf borderId="64" fillId="0" fontId="4" numFmtId="0" xfId="0" applyBorder="1" applyFont="1"/>
    <xf borderId="65" fillId="13" fontId="2" numFmtId="0" xfId="0" applyAlignment="1" applyBorder="1" applyFont="1">
      <alignment horizontal="center" readingOrder="0" vertical="center"/>
    </xf>
    <xf borderId="66" fillId="13" fontId="2" numFmtId="0" xfId="0" applyAlignment="1" applyBorder="1" applyFont="1">
      <alignment horizontal="center" readingOrder="0" vertical="center"/>
    </xf>
    <xf borderId="66" fillId="13" fontId="2" numFmtId="0" xfId="0" applyAlignment="1" applyBorder="1" applyFont="1">
      <alignment horizontal="center" vertical="center"/>
    </xf>
    <xf borderId="67" fillId="13" fontId="2" numFmtId="0" xfId="0" applyAlignment="1" applyBorder="1" applyFont="1">
      <alignment horizontal="center" readingOrder="0" vertical="center"/>
    </xf>
    <xf borderId="68" fillId="13" fontId="2" numFmtId="0" xfId="0" applyAlignment="1" applyBorder="1" applyFont="1">
      <alignment horizontal="center" readingOrder="0" vertical="center"/>
    </xf>
    <xf borderId="69" fillId="13" fontId="2" numFmtId="0" xfId="0" applyAlignment="1" applyBorder="1" applyFont="1">
      <alignment horizontal="center" vertical="center"/>
    </xf>
    <xf borderId="69" fillId="13" fontId="2" numFmtId="9" xfId="0" applyAlignment="1" applyBorder="1" applyFont="1" applyNumberFormat="1">
      <alignment horizontal="center" readingOrder="0" vertical="center"/>
    </xf>
    <xf borderId="70" fillId="13" fontId="2" numFmtId="0" xfId="0" applyAlignment="1" applyBorder="1" applyFont="1">
      <alignment horizontal="center" vertical="center"/>
    </xf>
    <xf borderId="71" fillId="0" fontId="4" numFmtId="0" xfId="0" applyBorder="1" applyFont="1"/>
    <xf borderId="72" fillId="0" fontId="4" numFmtId="0" xfId="0" applyBorder="1" applyFont="1"/>
    <xf borderId="67" fillId="13" fontId="2" numFmtId="0" xfId="0" applyAlignment="1" applyBorder="1" applyFont="1">
      <alignment horizontal="center" vertical="center"/>
    </xf>
    <xf borderId="62" fillId="13" fontId="2" numFmtId="0" xfId="0" applyAlignment="1" applyBorder="1" applyFont="1">
      <alignment horizontal="center" vertical="center"/>
    </xf>
    <xf borderId="65" fillId="13" fontId="2" numFmtId="0" xfId="0" applyAlignment="1" applyBorder="1" applyFont="1">
      <alignment horizontal="center" vertical="center"/>
    </xf>
    <xf borderId="73" fillId="13" fontId="2" numFmtId="0" xfId="0" applyAlignment="1" applyBorder="1" applyFont="1">
      <alignment horizontal="center" vertical="center"/>
    </xf>
    <xf borderId="74" fillId="0" fontId="4" numFmtId="0" xfId="0" applyBorder="1" applyFont="1"/>
    <xf borderId="75" fillId="0" fontId="4" numFmtId="0" xfId="0" applyBorder="1" applyFont="1"/>
    <xf borderId="76" fillId="13" fontId="2" numFmtId="0" xfId="0" applyAlignment="1" applyBorder="1" applyFont="1">
      <alignment horizontal="center" vertical="center"/>
    </xf>
    <xf borderId="77" fillId="13" fontId="2" numFmtId="0" xfId="0" applyAlignment="1" applyBorder="1" applyFont="1">
      <alignment horizontal="center" vertical="center"/>
    </xf>
    <xf borderId="78" fillId="13" fontId="2" numFmtId="0" xfId="0" applyAlignment="1" applyBorder="1" applyFont="1">
      <alignment horizontal="center" vertical="center"/>
    </xf>
    <xf borderId="79" fillId="13" fontId="2" numFmtId="0" xfId="0" applyAlignment="1" applyBorder="1" applyFont="1">
      <alignment horizontal="center" readingOrder="0" vertical="center"/>
    </xf>
    <xf borderId="80" fillId="13" fontId="2" numFmtId="0" xfId="0" applyAlignment="1" applyBorder="1" applyFont="1">
      <alignment horizontal="center" vertical="center"/>
    </xf>
    <xf borderId="80" fillId="13" fontId="2" numFmtId="9" xfId="0" applyAlignment="1" applyBorder="1" applyFont="1" applyNumberFormat="1">
      <alignment horizontal="center" readingOrder="0" vertical="center"/>
    </xf>
    <xf borderId="81" fillId="13" fontId="2" numFmtId="0" xfId="0" applyAlignment="1" applyBorder="1" applyFont="1">
      <alignment horizontal="center" vertical="center"/>
    </xf>
    <xf borderId="82" fillId="0" fontId="4" numFmtId="0" xfId="0" applyBorder="1" applyFont="1"/>
    <xf borderId="83" fillId="0" fontId="4" numFmtId="0" xfId="0" applyBorder="1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AD5BE">
                <a:alpha val="30000"/>
              </a:srgbClr>
            </a:solidFill>
            <a:ln cmpd="sng">
              <a:solidFill>
                <a:srgbClr val="FAD5BE"/>
              </a:solidFill>
            </a:ln>
          </c:spPr>
          <c:val>
            <c:numRef>
              <c:f>'HABIT TRACKER'!$L$12:$AO$12</c:f>
              <c:numCache/>
            </c:numRef>
          </c:val>
        </c:ser>
        <c:axId val="156863180"/>
        <c:axId val="1656897987"/>
      </c:areaChart>
      <c:catAx>
        <c:axId val="156863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897987"/>
      </c:catAx>
      <c:valAx>
        <c:axId val="1656897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63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AD5BE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TRACKER'!$BG$2:$BG$3</c:f>
            </c:strRef>
          </c:cat>
          <c:val>
            <c:numRef>
              <c:f>'HABIT TRACKER'!$BH$2:$BH$3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0</xdr:row>
      <xdr:rowOff>190500</xdr:rowOff>
    </xdr:from>
    <xdr:ext cx="10058400" cy="2000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41</xdr:col>
      <xdr:colOff>304800</xdr:colOff>
      <xdr:row>2</xdr:row>
      <xdr:rowOff>180975</xdr:rowOff>
    </xdr:from>
    <xdr:ext cx="3095625" cy="1571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AD5BE"/>
      </a:accent1>
      <a:accent2>
        <a:srgbClr val="EFD2E0"/>
      </a:accent2>
      <a:accent3>
        <a:srgbClr val="CAE6ED"/>
      </a:accent3>
      <a:accent4>
        <a:srgbClr val="D9EAD3"/>
      </a:accent4>
      <a:accent5>
        <a:srgbClr val="FFF0C2"/>
      </a:accent5>
      <a:accent6>
        <a:srgbClr val="EBEFF2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42" width="4.13"/>
    <col customWidth="1" min="43" max="50" width="5.13"/>
    <col customWidth="1" min="51" max="100" width="4.13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1"/>
      <c r="AZ1" s="1"/>
      <c r="BA1" s="3"/>
      <c r="BB1" s="4" t="s">
        <v>0</v>
      </c>
      <c r="BC1" s="3">
        <v>1.0</v>
      </c>
      <c r="BD1" s="1"/>
      <c r="BE1" s="1"/>
      <c r="BF1" s="1"/>
      <c r="BG1" s="1"/>
      <c r="BH1" s="1"/>
      <c r="BI1" s="1"/>
      <c r="BJ1" s="1"/>
      <c r="BK1" s="1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ht="15.75" customHeight="1">
      <c r="A2" s="1"/>
      <c r="B2" s="5" t="s">
        <v>1</v>
      </c>
      <c r="C2" s="6"/>
      <c r="D2" s="6"/>
      <c r="E2" s="6"/>
      <c r="F2" s="6"/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8" t="s">
        <v>2</v>
      </c>
      <c r="AR2" s="6"/>
      <c r="AS2" s="6"/>
      <c r="AT2" s="6"/>
      <c r="AU2" s="6"/>
      <c r="AV2" s="6"/>
      <c r="AW2" s="6"/>
      <c r="AX2" s="7"/>
      <c r="AY2" s="1"/>
      <c r="AZ2" s="1"/>
      <c r="BA2" s="3"/>
      <c r="BB2" s="4" t="s">
        <v>3</v>
      </c>
      <c r="BC2" s="3">
        <v>2.0</v>
      </c>
      <c r="BD2" s="1"/>
      <c r="BE2" s="1"/>
      <c r="BF2" s="9"/>
      <c r="BG2" s="10" t="s">
        <v>4</v>
      </c>
      <c r="BH2" s="9">
        <f>SUM(AQ35:AQ59)</f>
        <v>0</v>
      </c>
      <c r="BI2" s="1"/>
      <c r="BJ2" s="1"/>
      <c r="BK2" s="1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ht="15.75" customHeight="1">
      <c r="A3" s="1"/>
      <c r="B3" s="11"/>
      <c r="H3" s="1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3"/>
      <c r="AR3" s="14"/>
      <c r="AS3" s="14"/>
      <c r="AT3" s="14"/>
      <c r="AU3" s="14"/>
      <c r="AV3" s="14"/>
      <c r="AW3" s="14"/>
      <c r="AX3" s="15"/>
      <c r="AY3" s="1"/>
      <c r="AZ3" s="1"/>
      <c r="BA3" s="3"/>
      <c r="BB3" s="4" t="s">
        <v>5</v>
      </c>
      <c r="BC3" s="3">
        <v>3.0</v>
      </c>
      <c r="BD3" s="1"/>
      <c r="BE3" s="1"/>
      <c r="BF3" s="9"/>
      <c r="BG3" s="10" t="s">
        <v>6</v>
      </c>
      <c r="BH3" s="9">
        <f>SUM(AR35:AR59)</f>
        <v>108</v>
      </c>
      <c r="BI3" s="1"/>
      <c r="BJ3" s="1"/>
      <c r="BK3" s="1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ht="15.75" customHeight="1">
      <c r="A4" s="1"/>
      <c r="B4" s="16"/>
      <c r="C4" s="17"/>
      <c r="D4" s="17"/>
      <c r="E4" s="17"/>
      <c r="F4" s="17"/>
      <c r="G4" s="17"/>
      <c r="H4" s="1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9"/>
      <c r="AX4" s="12"/>
      <c r="AY4" s="1"/>
      <c r="AZ4" s="1"/>
      <c r="BA4" s="3"/>
      <c r="BB4" s="4" t="s">
        <v>7</v>
      </c>
      <c r="BC4" s="3">
        <v>4.0</v>
      </c>
      <c r="BD4" s="1"/>
      <c r="BE4" s="1"/>
      <c r="BF4" s="9"/>
      <c r="BG4" s="10" t="s">
        <v>8</v>
      </c>
      <c r="BH4" s="9">
        <f>SUM(I35:J59)</f>
        <v>108</v>
      </c>
      <c r="BI4" s="1"/>
      <c r="BJ4" s="1"/>
      <c r="BK4" s="1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ht="15.75" customHeight="1">
      <c r="A5" s="1"/>
      <c r="B5" s="20" t="str">
        <f>CONCATENATE("- ",E11," -")</f>
        <v>- January -</v>
      </c>
      <c r="C5" s="21"/>
      <c r="D5" s="21"/>
      <c r="E5" s="21"/>
      <c r="F5" s="21"/>
      <c r="G5" s="21"/>
      <c r="H5" s="2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1"/>
      <c r="AX5" s="12"/>
      <c r="AY5" s="1"/>
      <c r="AZ5" s="1"/>
      <c r="BA5" s="3"/>
      <c r="BB5" s="4" t="s">
        <v>9</v>
      </c>
      <c r="BC5" s="3">
        <v>5.0</v>
      </c>
      <c r="BD5" s="1"/>
      <c r="BE5" s="1"/>
      <c r="BF5" s="1"/>
      <c r="BG5" s="1"/>
      <c r="BH5" s="1"/>
      <c r="BI5" s="1"/>
      <c r="BJ5" s="1"/>
      <c r="BK5" s="1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ht="15.75" customHeight="1">
      <c r="A6" s="1"/>
      <c r="B6" s="13"/>
      <c r="C6" s="14"/>
      <c r="D6" s="14"/>
      <c r="E6" s="14"/>
      <c r="F6" s="14"/>
      <c r="G6" s="14"/>
      <c r="H6" s="1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1"/>
      <c r="AX6" s="12"/>
      <c r="AY6" s="1"/>
      <c r="AZ6" s="1"/>
      <c r="BA6" s="3"/>
      <c r="BB6" s="4" t="s">
        <v>10</v>
      </c>
      <c r="BC6" s="3">
        <v>6.0</v>
      </c>
      <c r="BD6" s="1"/>
      <c r="BE6" s="1"/>
      <c r="BF6" s="1"/>
      <c r="BG6" s="1"/>
      <c r="BH6" s="1"/>
      <c r="BI6" s="1"/>
      <c r="BJ6" s="1"/>
      <c r="BK6" s="1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ht="15.7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1"/>
      <c r="AX7" s="12"/>
      <c r="AY7" s="1"/>
      <c r="AZ7" s="1"/>
      <c r="BA7" s="3"/>
      <c r="BB7" s="4" t="s">
        <v>11</v>
      </c>
      <c r="BC7" s="3">
        <v>7.0</v>
      </c>
      <c r="BD7" s="1"/>
      <c r="BE7" s="1"/>
      <c r="BF7" s="1"/>
      <c r="BG7" s="1"/>
      <c r="BH7" s="1"/>
      <c r="BI7" s="1"/>
      <c r="BJ7" s="1"/>
      <c r="BK7" s="1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ht="15.7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11"/>
      <c r="AX8" s="12"/>
      <c r="AY8" s="1"/>
      <c r="AZ8" s="1"/>
      <c r="BA8" s="3"/>
      <c r="BB8" s="4" t="s">
        <v>12</v>
      </c>
      <c r="BC8" s="3">
        <v>8.0</v>
      </c>
      <c r="BD8" s="1"/>
      <c r="BE8" s="1"/>
      <c r="BF8" s="1"/>
      <c r="BG8" s="1"/>
      <c r="BH8" s="1"/>
      <c r="BI8" s="1"/>
      <c r="BJ8" s="1"/>
      <c r="BK8" s="1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ht="15.75" customHeight="1">
      <c r="A9" s="1"/>
      <c r="B9" s="23" t="s">
        <v>13</v>
      </c>
      <c r="C9" s="6"/>
      <c r="D9" s="6"/>
      <c r="E9" s="6"/>
      <c r="F9" s="6"/>
      <c r="G9" s="6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1"/>
      <c r="AX9" s="12"/>
      <c r="AY9" s="1"/>
      <c r="AZ9" s="1"/>
      <c r="BA9" s="3"/>
      <c r="BB9" s="4" t="s">
        <v>14</v>
      </c>
      <c r="BC9" s="3">
        <v>9.0</v>
      </c>
      <c r="BD9" s="1"/>
      <c r="BE9" s="1"/>
      <c r="BF9" s="1"/>
      <c r="BG9" s="1"/>
      <c r="BH9" s="1"/>
      <c r="BI9" s="1"/>
      <c r="BJ9" s="1"/>
      <c r="BK9" s="1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ht="15.75" customHeight="1">
      <c r="A10" s="1"/>
      <c r="B10" s="24" t="s">
        <v>15</v>
      </c>
      <c r="E10" s="25">
        <v>2026.0</v>
      </c>
      <c r="H10" s="1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6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1"/>
      <c r="AX10" s="12"/>
      <c r="AY10" s="1"/>
      <c r="AZ10" s="1"/>
      <c r="BA10" s="3"/>
      <c r="BB10" s="4" t="s">
        <v>16</v>
      </c>
      <c r="BC10" s="3">
        <v>10.0</v>
      </c>
      <c r="BD10" s="1"/>
      <c r="BE10" s="1"/>
      <c r="BF10" s="1"/>
      <c r="BG10" s="1"/>
      <c r="BH10" s="1"/>
      <c r="BI10" s="1"/>
      <c r="BJ10" s="1"/>
      <c r="BK10" s="1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ht="15.75" customHeight="1">
      <c r="A11" s="1"/>
      <c r="B11" s="27" t="s">
        <v>17</v>
      </c>
      <c r="C11" s="14"/>
      <c r="D11" s="14"/>
      <c r="E11" s="28" t="s">
        <v>0</v>
      </c>
      <c r="F11" s="14"/>
      <c r="G11" s="14"/>
      <c r="H11" s="1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9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13"/>
      <c r="AR11" s="14"/>
      <c r="AS11" s="14"/>
      <c r="AT11" s="14"/>
      <c r="AU11" s="14"/>
      <c r="AV11" s="14"/>
      <c r="AW11" s="14"/>
      <c r="AX11" s="15"/>
      <c r="AY11" s="1"/>
      <c r="AZ11" s="1"/>
      <c r="BA11" s="3"/>
      <c r="BB11" s="4" t="s">
        <v>18</v>
      </c>
      <c r="BC11" s="3">
        <v>11.0</v>
      </c>
      <c r="BD11" s="1"/>
      <c r="BE11" s="1"/>
      <c r="BF11" s="1"/>
      <c r="BG11" s="1"/>
      <c r="BH11" s="1"/>
      <c r="BI11" s="1"/>
      <c r="BJ11" s="1"/>
      <c r="BK11" s="1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ht="15.7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L12" s="30">
        <f t="shared" ref="L12:AO12" si="1">IFERROR(L23/L24,0)</f>
        <v>0</v>
      </c>
      <c r="M12" s="30">
        <f t="shared" si="1"/>
        <v>0</v>
      </c>
      <c r="N12" s="30">
        <f t="shared" si="1"/>
        <v>0</v>
      </c>
      <c r="O12" s="30">
        <f t="shared" si="1"/>
        <v>0</v>
      </c>
      <c r="P12" s="30">
        <f t="shared" si="1"/>
        <v>0</v>
      </c>
      <c r="Q12" s="30">
        <f t="shared" si="1"/>
        <v>0</v>
      </c>
      <c r="R12" s="30">
        <f t="shared" si="1"/>
        <v>0</v>
      </c>
      <c r="S12" s="30">
        <f t="shared" si="1"/>
        <v>0</v>
      </c>
      <c r="T12" s="30">
        <f t="shared" si="1"/>
        <v>0</v>
      </c>
      <c r="U12" s="30">
        <f t="shared" si="1"/>
        <v>0</v>
      </c>
      <c r="V12" s="30">
        <f t="shared" si="1"/>
        <v>0</v>
      </c>
      <c r="W12" s="30">
        <f t="shared" si="1"/>
        <v>0</v>
      </c>
      <c r="X12" s="30">
        <f t="shared" si="1"/>
        <v>0</v>
      </c>
      <c r="Y12" s="30">
        <f t="shared" si="1"/>
        <v>0</v>
      </c>
      <c r="Z12" s="30">
        <f t="shared" si="1"/>
        <v>0</v>
      </c>
      <c r="AA12" s="30">
        <f t="shared" si="1"/>
        <v>0</v>
      </c>
      <c r="AB12" s="30">
        <f t="shared" si="1"/>
        <v>0</v>
      </c>
      <c r="AC12" s="30">
        <f t="shared" si="1"/>
        <v>0</v>
      </c>
      <c r="AD12" s="30">
        <f t="shared" si="1"/>
        <v>0</v>
      </c>
      <c r="AE12" s="30">
        <f t="shared" si="1"/>
        <v>0</v>
      </c>
      <c r="AF12" s="30">
        <f t="shared" si="1"/>
        <v>0</v>
      </c>
      <c r="AG12" s="30">
        <f t="shared" si="1"/>
        <v>0</v>
      </c>
      <c r="AH12" s="30">
        <f t="shared" si="1"/>
        <v>0</v>
      </c>
      <c r="AI12" s="30">
        <f t="shared" si="1"/>
        <v>0</v>
      </c>
      <c r="AJ12" s="30">
        <f t="shared" si="1"/>
        <v>0</v>
      </c>
      <c r="AK12" s="30">
        <f t="shared" si="1"/>
        <v>0</v>
      </c>
      <c r="AL12" s="30">
        <f t="shared" si="1"/>
        <v>0</v>
      </c>
      <c r="AM12" s="30">
        <f t="shared" si="1"/>
        <v>0</v>
      </c>
      <c r="AN12" s="30">
        <f t="shared" si="1"/>
        <v>0</v>
      </c>
      <c r="AO12" s="30">
        <f t="shared" si="1"/>
        <v>0</v>
      </c>
      <c r="AP12" s="2"/>
      <c r="AQ12" s="2"/>
      <c r="AR12" s="2"/>
      <c r="AS12" s="2"/>
      <c r="AT12" s="2"/>
      <c r="AU12" s="2"/>
      <c r="AV12" s="2"/>
      <c r="AW12" s="2"/>
      <c r="AX12" s="2"/>
      <c r="AY12" s="1"/>
      <c r="AZ12" s="1"/>
      <c r="BA12" s="3"/>
      <c r="BB12" s="4" t="s">
        <v>19</v>
      </c>
      <c r="BC12" s="3">
        <v>12.0</v>
      </c>
      <c r="BD12" s="1"/>
      <c r="BE12" s="1"/>
      <c r="BF12" s="1"/>
      <c r="BG12" s="1"/>
      <c r="BH12" s="1"/>
      <c r="BI12" s="1"/>
      <c r="BJ12" s="1"/>
      <c r="BK12" s="1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ht="15.75" customHeight="1">
      <c r="A13" s="1"/>
      <c r="B13" s="31" t="s">
        <v>20</v>
      </c>
      <c r="C13" s="6"/>
      <c r="D13" s="6"/>
      <c r="E13" s="6"/>
      <c r="F13" s="6"/>
      <c r="G13" s="6"/>
      <c r="H13" s="6"/>
      <c r="I13" s="6"/>
      <c r="J13" s="6"/>
      <c r="K13" s="32" t="s">
        <v>21</v>
      </c>
      <c r="L13" s="6"/>
      <c r="M13" s="6"/>
      <c r="N13" s="6"/>
      <c r="O13" s="6"/>
      <c r="P13" s="6"/>
      <c r="Q13" s="6"/>
      <c r="R13" s="33" t="s">
        <v>22</v>
      </c>
      <c r="S13" s="6"/>
      <c r="T13" s="6"/>
      <c r="U13" s="6"/>
      <c r="V13" s="6"/>
      <c r="W13" s="6"/>
      <c r="X13" s="6"/>
      <c r="Y13" s="34" t="s">
        <v>23</v>
      </c>
      <c r="Z13" s="6"/>
      <c r="AA13" s="6"/>
      <c r="AB13" s="6"/>
      <c r="AC13" s="6"/>
      <c r="AD13" s="6"/>
      <c r="AE13" s="6"/>
      <c r="AF13" s="35" t="s">
        <v>24</v>
      </c>
      <c r="AG13" s="6"/>
      <c r="AH13" s="6"/>
      <c r="AI13" s="6"/>
      <c r="AJ13" s="6"/>
      <c r="AK13" s="6"/>
      <c r="AL13" s="6"/>
      <c r="AM13" s="36" t="s">
        <v>25</v>
      </c>
      <c r="AN13" s="6"/>
      <c r="AO13" s="7"/>
      <c r="AP13" s="2"/>
      <c r="AQ13" s="37" t="s">
        <v>26</v>
      </c>
      <c r="AR13" s="6"/>
      <c r="AS13" s="6"/>
      <c r="AT13" s="6"/>
      <c r="AU13" s="6"/>
      <c r="AV13" s="6"/>
      <c r="AW13" s="6"/>
      <c r="AX13" s="7"/>
      <c r="AY13" s="1"/>
      <c r="AZ13" s="1"/>
      <c r="BA13" s="3"/>
      <c r="BB13" s="4"/>
      <c r="BC13" s="3"/>
      <c r="BD13" s="1"/>
      <c r="BE13" s="1"/>
      <c r="BF13" s="1"/>
      <c r="BG13" s="1"/>
      <c r="BH13" s="1"/>
      <c r="BI13" s="1"/>
      <c r="BJ13" s="1"/>
      <c r="BK13" s="1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ht="15.75" customHeight="1">
      <c r="A14" s="1"/>
      <c r="B14" s="11"/>
      <c r="AO14" s="12"/>
      <c r="AP14" s="2"/>
      <c r="AQ14" s="11"/>
      <c r="AX14" s="12"/>
      <c r="AY14" s="1"/>
      <c r="AZ14" s="1"/>
      <c r="BA14" s="3"/>
      <c r="BB14" s="4"/>
      <c r="BC14" s="3"/>
      <c r="BD14" s="1"/>
      <c r="BE14" s="1"/>
      <c r="BF14" s="1"/>
      <c r="BG14" s="1"/>
      <c r="BH14" s="1"/>
      <c r="BI14" s="1"/>
      <c r="BJ14" s="1"/>
      <c r="BK14" s="1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ht="15.75" customHeight="1">
      <c r="A15" s="1"/>
      <c r="B15" s="11"/>
      <c r="K15" s="38">
        <f t="shared" ref="K15:AO15" si="2">K16</f>
        <v>46023</v>
      </c>
      <c r="L15" s="38">
        <f t="shared" si="2"/>
        <v>46024</v>
      </c>
      <c r="M15" s="38">
        <f t="shared" si="2"/>
        <v>46025</v>
      </c>
      <c r="N15" s="38">
        <f t="shared" si="2"/>
        <v>46026</v>
      </c>
      <c r="O15" s="38">
        <f t="shared" si="2"/>
        <v>46027</v>
      </c>
      <c r="P15" s="38">
        <f t="shared" si="2"/>
        <v>46028</v>
      </c>
      <c r="Q15" s="38">
        <f t="shared" si="2"/>
        <v>46029</v>
      </c>
      <c r="R15" s="38">
        <f t="shared" si="2"/>
        <v>46030</v>
      </c>
      <c r="S15" s="38">
        <f t="shared" si="2"/>
        <v>46031</v>
      </c>
      <c r="T15" s="38">
        <f t="shared" si="2"/>
        <v>46032</v>
      </c>
      <c r="U15" s="38">
        <f t="shared" si="2"/>
        <v>46033</v>
      </c>
      <c r="V15" s="38">
        <f t="shared" si="2"/>
        <v>46034</v>
      </c>
      <c r="W15" s="38">
        <f t="shared" si="2"/>
        <v>46035</v>
      </c>
      <c r="X15" s="38">
        <f t="shared" si="2"/>
        <v>46036</v>
      </c>
      <c r="Y15" s="38">
        <f t="shared" si="2"/>
        <v>46037</v>
      </c>
      <c r="Z15" s="38">
        <f t="shared" si="2"/>
        <v>46038</v>
      </c>
      <c r="AA15" s="38">
        <f t="shared" si="2"/>
        <v>46039</v>
      </c>
      <c r="AB15" s="38">
        <f t="shared" si="2"/>
        <v>46040</v>
      </c>
      <c r="AC15" s="38">
        <f t="shared" si="2"/>
        <v>46041</v>
      </c>
      <c r="AD15" s="38">
        <f t="shared" si="2"/>
        <v>46042</v>
      </c>
      <c r="AE15" s="38">
        <f t="shared" si="2"/>
        <v>46043</v>
      </c>
      <c r="AF15" s="38">
        <f t="shared" si="2"/>
        <v>46044</v>
      </c>
      <c r="AG15" s="38">
        <f t="shared" si="2"/>
        <v>46045</v>
      </c>
      <c r="AH15" s="38">
        <f t="shared" si="2"/>
        <v>46046</v>
      </c>
      <c r="AI15" s="38">
        <f t="shared" si="2"/>
        <v>46047</v>
      </c>
      <c r="AJ15" s="38">
        <f t="shared" si="2"/>
        <v>46048</v>
      </c>
      <c r="AK15" s="38">
        <f t="shared" si="2"/>
        <v>46049</v>
      </c>
      <c r="AL15" s="38">
        <f t="shared" si="2"/>
        <v>46050</v>
      </c>
      <c r="AM15" s="38">
        <f t="shared" si="2"/>
        <v>46051</v>
      </c>
      <c r="AN15" s="38">
        <f t="shared" si="2"/>
        <v>46052</v>
      </c>
      <c r="AO15" s="39">
        <f t="shared" si="2"/>
        <v>46053</v>
      </c>
      <c r="AP15" s="2"/>
      <c r="AQ15" s="11"/>
      <c r="AX15" s="12"/>
      <c r="AY15" s="1"/>
      <c r="AZ15" s="1"/>
      <c r="BA15" s="3"/>
      <c r="BB15" s="4"/>
      <c r="BC15" s="3"/>
      <c r="BD15" s="1"/>
      <c r="BE15" s="1"/>
      <c r="BF15" s="1"/>
      <c r="BG15" s="1"/>
      <c r="BH15" s="1"/>
      <c r="BI15" s="1"/>
      <c r="BJ15" s="1"/>
      <c r="BK15" s="1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ht="15.75" customHeight="1">
      <c r="A16" s="1"/>
      <c r="B16" s="16"/>
      <c r="C16" s="17"/>
      <c r="D16" s="17"/>
      <c r="E16" s="17"/>
      <c r="F16" s="17"/>
      <c r="G16" s="17"/>
      <c r="H16" s="17"/>
      <c r="I16" s="17"/>
      <c r="J16" s="17"/>
      <c r="K16" s="40">
        <f>K34</f>
        <v>46023</v>
      </c>
      <c r="L16" s="40">
        <f t="shared" ref="L16:AO16" si="3">IF(MONTH(K16+1)=MONTH($K$34),K16+1,"")</f>
        <v>46024</v>
      </c>
      <c r="M16" s="40">
        <f t="shared" si="3"/>
        <v>46025</v>
      </c>
      <c r="N16" s="40">
        <f t="shared" si="3"/>
        <v>46026</v>
      </c>
      <c r="O16" s="40">
        <f t="shared" si="3"/>
        <v>46027</v>
      </c>
      <c r="P16" s="40">
        <f t="shared" si="3"/>
        <v>46028</v>
      </c>
      <c r="Q16" s="40">
        <f t="shared" si="3"/>
        <v>46029</v>
      </c>
      <c r="R16" s="40">
        <f t="shared" si="3"/>
        <v>46030</v>
      </c>
      <c r="S16" s="40">
        <f t="shared" si="3"/>
        <v>46031</v>
      </c>
      <c r="T16" s="40">
        <f t="shared" si="3"/>
        <v>46032</v>
      </c>
      <c r="U16" s="40">
        <f t="shared" si="3"/>
        <v>46033</v>
      </c>
      <c r="V16" s="40">
        <f t="shared" si="3"/>
        <v>46034</v>
      </c>
      <c r="W16" s="40">
        <f t="shared" si="3"/>
        <v>46035</v>
      </c>
      <c r="X16" s="40">
        <f t="shared" si="3"/>
        <v>46036</v>
      </c>
      <c r="Y16" s="40">
        <f t="shared" si="3"/>
        <v>46037</v>
      </c>
      <c r="Z16" s="40">
        <f t="shared" si="3"/>
        <v>46038</v>
      </c>
      <c r="AA16" s="40">
        <f t="shared" si="3"/>
        <v>46039</v>
      </c>
      <c r="AB16" s="40">
        <f t="shared" si="3"/>
        <v>46040</v>
      </c>
      <c r="AC16" s="40">
        <f t="shared" si="3"/>
        <v>46041</v>
      </c>
      <c r="AD16" s="40">
        <f t="shared" si="3"/>
        <v>46042</v>
      </c>
      <c r="AE16" s="40">
        <f t="shared" si="3"/>
        <v>46043</v>
      </c>
      <c r="AF16" s="40">
        <f t="shared" si="3"/>
        <v>46044</v>
      </c>
      <c r="AG16" s="40">
        <f t="shared" si="3"/>
        <v>46045</v>
      </c>
      <c r="AH16" s="40">
        <f t="shared" si="3"/>
        <v>46046</v>
      </c>
      <c r="AI16" s="40">
        <f t="shared" si="3"/>
        <v>46047</v>
      </c>
      <c r="AJ16" s="40">
        <f t="shared" si="3"/>
        <v>46048</v>
      </c>
      <c r="AK16" s="40">
        <f t="shared" si="3"/>
        <v>46049</v>
      </c>
      <c r="AL16" s="40">
        <f t="shared" si="3"/>
        <v>46050</v>
      </c>
      <c r="AM16" s="40">
        <f t="shared" si="3"/>
        <v>46051</v>
      </c>
      <c r="AN16" s="40">
        <f t="shared" si="3"/>
        <v>46052</v>
      </c>
      <c r="AO16" s="41">
        <f t="shared" si="3"/>
        <v>46053</v>
      </c>
      <c r="AP16" s="2"/>
      <c r="AQ16" s="11"/>
      <c r="AX16" s="12"/>
      <c r="AY16" s="1"/>
      <c r="AZ16" s="1"/>
      <c r="BA16" s="3"/>
      <c r="BB16" s="4"/>
      <c r="BC16" s="3"/>
      <c r="BD16" s="1"/>
      <c r="BE16" s="1"/>
      <c r="BF16" s="1"/>
      <c r="BG16" s="1"/>
      <c r="BH16" s="1"/>
      <c r="BI16" s="1"/>
      <c r="BJ16" s="1"/>
      <c r="BK16" s="1"/>
      <c r="BL16" s="2"/>
      <c r="BM16" s="42"/>
      <c r="BN16" s="42"/>
      <c r="BO16" s="4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ht="15.75" customHeight="1">
      <c r="A17" s="1"/>
      <c r="B17" s="43" t="s">
        <v>27</v>
      </c>
      <c r="J17" s="12"/>
      <c r="K17" s="44" t="str">
        <f>IFERROR(__xludf.DUMMYFUNCTION("SPARKLINE(K23:Q23,{""charttype"",""column"";""ymin"",0;""ymax"",COUNTIF($B$35:$H$59,""*"");""color"",""#fad5be""})"),"")</f>
        <v/>
      </c>
      <c r="R17" s="44" t="str">
        <f>IFERROR(__xludf.DUMMYFUNCTION("SPARKLINE(K23:Q23,{""charttype"",""column"";""ymin"",0;""ymax"",COUNTIF($B$35:$H$59,""*"");""color"",""#efd2e0""})"),"")</f>
        <v/>
      </c>
      <c r="Y17" s="44" t="str">
        <f>IFERROR(__xludf.DUMMYFUNCTION("SPARKLINE(K23:Q23,{""charttype"",""column"";""ymin"",0;""ymax"",COUNTIF($B$35:$H$59,""*"");""color"",""#9fc5ed""})"),"")</f>
        <v/>
      </c>
      <c r="AF17" s="44" t="str">
        <f>IFERROR(__xludf.DUMMYFUNCTION("SPARKLINE(K23:Q23,{""charttype"",""column"";""ymin"",0;""ymax"",COUNTIF($B$35:$H$59,""*"");""color"",""#fff0c2""})"),"")</f>
        <v/>
      </c>
      <c r="AM17" s="44" t="str">
        <f>IFERROR(__xludf.DUMMYFUNCTION("SPARKLINE(AM23:AO23,{""charttype"",""column"";""ymin"",0;""ymax"",COUNTIF($B$35:$H$59,""*"");""color"",""#d9ead3""})"),"")</f>
        <v/>
      </c>
      <c r="AO17" s="12"/>
      <c r="AP17" s="2"/>
      <c r="AQ17" s="45"/>
      <c r="AR17" s="46"/>
      <c r="AS17" s="46"/>
      <c r="AT17" s="46"/>
      <c r="AU17" s="46"/>
      <c r="AV17" s="46"/>
      <c r="AW17" s="46"/>
      <c r="AX17" s="47"/>
      <c r="AY17" s="1"/>
      <c r="AZ17" s="1"/>
      <c r="BA17" s="3"/>
      <c r="BB17" s="4"/>
      <c r="BC17" s="3"/>
      <c r="BD17" s="1"/>
      <c r="BE17" s="1"/>
      <c r="BF17" s="1"/>
      <c r="BG17" s="1"/>
      <c r="BH17" s="1"/>
      <c r="BI17" s="1"/>
      <c r="BJ17" s="1"/>
      <c r="BK17" s="1"/>
      <c r="BL17" s="2"/>
      <c r="BM17" s="42"/>
      <c r="BN17" s="42"/>
      <c r="BO17" s="4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</row>
    <row r="18" ht="15.75" customHeight="1">
      <c r="A18" s="1"/>
      <c r="B18" s="11"/>
      <c r="J18" s="12"/>
      <c r="AO18" s="12"/>
      <c r="AP18" s="25"/>
      <c r="AQ18" s="48">
        <v>1.0</v>
      </c>
      <c r="AR18" s="49" t="str">
        <f t="shared" ref="AR18:AR27" si="4">IF(BA35="","",CONCATENATE(BA35," - ",TEXT(BK35,"##0%")))</f>
        <v>Good Sleep Timing - 0%</v>
      </c>
      <c r="AS18" s="50"/>
      <c r="AT18" s="50"/>
      <c r="AU18" s="50"/>
      <c r="AV18" s="50"/>
      <c r="AW18" s="50"/>
      <c r="AX18" s="51"/>
      <c r="AY18" s="1"/>
      <c r="AZ18" s="1"/>
      <c r="BA18" s="3"/>
      <c r="BB18" s="4"/>
      <c r="BC18" s="3"/>
      <c r="BD18" s="1"/>
      <c r="BE18" s="1"/>
      <c r="BF18" s="1"/>
      <c r="BG18" s="1"/>
      <c r="BH18" s="1"/>
      <c r="BI18" s="1"/>
      <c r="BJ18" s="1"/>
      <c r="BK18" s="1"/>
      <c r="BL18" s="2"/>
      <c r="BM18" s="42"/>
      <c r="BN18" s="42"/>
      <c r="BO18" s="4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ht="15.75" customHeight="1">
      <c r="A19" s="1"/>
      <c r="B19" s="11"/>
      <c r="J19" s="12"/>
      <c r="AO19" s="12"/>
      <c r="AP19" s="25"/>
      <c r="AQ19" s="48">
        <v>2.0</v>
      </c>
      <c r="AR19" s="49" t="str">
        <f t="shared" si="4"/>
        <v>Milk Shake  - 0%</v>
      </c>
      <c r="AS19" s="50"/>
      <c r="AT19" s="50"/>
      <c r="AU19" s="50"/>
      <c r="AV19" s="50"/>
      <c r="AW19" s="50"/>
      <c r="AX19" s="51"/>
      <c r="AY19" s="1"/>
      <c r="AZ19" s="1"/>
      <c r="BA19" s="3"/>
      <c r="BB19" s="4"/>
      <c r="BC19" s="3"/>
      <c r="BD19" s="1"/>
      <c r="BE19" s="1"/>
      <c r="BF19" s="1"/>
      <c r="BG19" s="1"/>
      <c r="BH19" s="1"/>
      <c r="BI19" s="1"/>
      <c r="BJ19" s="1"/>
      <c r="BK19" s="1"/>
      <c r="BL19" s="2"/>
      <c r="BM19" s="2"/>
      <c r="BN19" s="5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ht="15.75" customHeight="1">
      <c r="A20" s="1"/>
      <c r="B20" s="53" t="str">
        <f>CONCATENATE(SUM(K23:AO23),"/",SUM(K24:AO24))</f>
        <v>0/310</v>
      </c>
      <c r="J20" s="12"/>
      <c r="AO20" s="12"/>
      <c r="AP20" s="25"/>
      <c r="AQ20" s="48">
        <v>3.0</v>
      </c>
      <c r="AR20" s="49" t="str">
        <f t="shared" si="4"/>
        <v>Healthy Breakfast - 0%</v>
      </c>
      <c r="AS20" s="50"/>
      <c r="AT20" s="50"/>
      <c r="AU20" s="50"/>
      <c r="AV20" s="50"/>
      <c r="AW20" s="50"/>
      <c r="AX20" s="51"/>
      <c r="AY20" s="1"/>
      <c r="AZ20" s="1"/>
      <c r="BA20" s="3"/>
      <c r="BB20" s="4"/>
      <c r="BC20" s="3"/>
      <c r="BD20" s="1"/>
      <c r="BE20" s="1"/>
      <c r="BF20" s="1"/>
      <c r="BG20" s="1"/>
      <c r="BH20" s="1"/>
      <c r="BI20" s="1"/>
      <c r="BJ20" s="1"/>
      <c r="BK20" s="1"/>
      <c r="BL20" s="2"/>
      <c r="BM20" s="2"/>
      <c r="BN20" s="5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ht="15.75" customHeight="1">
      <c r="A21" s="1"/>
      <c r="B21" s="54">
        <f>SUM(K23:AO23)/SUM(K24:AO24)</f>
        <v>0</v>
      </c>
      <c r="J21" s="12"/>
      <c r="AO21" s="12"/>
      <c r="AP21" s="25"/>
      <c r="AQ21" s="48">
        <v>4.0</v>
      </c>
      <c r="AR21" s="49" t="str">
        <f t="shared" si="4"/>
        <v>Pre Workout Meal - 0%</v>
      </c>
      <c r="AS21" s="50"/>
      <c r="AT21" s="50"/>
      <c r="AU21" s="50"/>
      <c r="AV21" s="50"/>
      <c r="AW21" s="50"/>
      <c r="AX21" s="51"/>
      <c r="AY21" s="1"/>
      <c r="AZ21" s="1"/>
      <c r="BA21" s="3"/>
      <c r="BB21" s="4"/>
      <c r="BC21" s="3"/>
      <c r="BD21" s="1"/>
      <c r="BE21" s="1"/>
      <c r="BF21" s="1"/>
      <c r="BG21" s="1"/>
      <c r="BH21" s="1"/>
      <c r="BI21" s="1"/>
      <c r="BJ21" s="1"/>
      <c r="BK21" s="1"/>
      <c r="BL21" s="2"/>
      <c r="BM21" s="2"/>
      <c r="BN21" s="5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ht="15.75" customHeight="1">
      <c r="A22" s="1"/>
      <c r="B22" s="55"/>
      <c r="C22" s="56"/>
      <c r="D22" s="56"/>
      <c r="E22" s="56"/>
      <c r="F22" s="56"/>
      <c r="G22" s="56"/>
      <c r="H22" s="56"/>
      <c r="I22" s="56"/>
      <c r="J22" s="57"/>
      <c r="AO22" s="12"/>
      <c r="AP22" s="25"/>
      <c r="AQ22" s="48">
        <v>5.0</v>
      </c>
      <c r="AR22" s="49" t="str">
        <f t="shared" si="4"/>
        <v>GYM - 0%</v>
      </c>
      <c r="AS22" s="50"/>
      <c r="AT22" s="50"/>
      <c r="AU22" s="50"/>
      <c r="AV22" s="50"/>
      <c r="AW22" s="50"/>
      <c r="AX22" s="51"/>
      <c r="AY22" s="1"/>
      <c r="AZ22" s="1"/>
      <c r="BA22" s="3"/>
      <c r="BB22" s="4"/>
      <c r="BC22" s="3"/>
      <c r="BD22" s="1"/>
      <c r="BE22" s="1"/>
      <c r="BF22" s="1"/>
      <c r="BG22" s="1"/>
      <c r="BH22" s="1"/>
      <c r="BI22" s="1"/>
      <c r="BJ22" s="1"/>
      <c r="BK22" s="1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ht="15.75" customHeight="1">
      <c r="A23" s="1"/>
      <c r="B23" s="58" t="s">
        <v>28</v>
      </c>
      <c r="C23" s="59"/>
      <c r="D23" s="59"/>
      <c r="E23" s="59"/>
      <c r="F23" s="59"/>
      <c r="G23" s="59"/>
      <c r="H23" s="59"/>
      <c r="I23" s="59"/>
      <c r="J23" s="60"/>
      <c r="K23" s="61">
        <f t="shared" ref="K23:AO23" si="5">IF(K16="","", COUNTIF(K35:K59,TRUE))</f>
        <v>0</v>
      </c>
      <c r="L23" s="61">
        <f t="shared" si="5"/>
        <v>0</v>
      </c>
      <c r="M23" s="61">
        <f t="shared" si="5"/>
        <v>0</v>
      </c>
      <c r="N23" s="61">
        <f t="shared" si="5"/>
        <v>0</v>
      </c>
      <c r="O23" s="61">
        <f t="shared" si="5"/>
        <v>0</v>
      </c>
      <c r="P23" s="61">
        <f t="shared" si="5"/>
        <v>0</v>
      </c>
      <c r="Q23" s="61">
        <f t="shared" si="5"/>
        <v>0</v>
      </c>
      <c r="R23" s="61">
        <f t="shared" si="5"/>
        <v>0</v>
      </c>
      <c r="S23" s="61">
        <f t="shared" si="5"/>
        <v>0</v>
      </c>
      <c r="T23" s="61">
        <f t="shared" si="5"/>
        <v>0</v>
      </c>
      <c r="U23" s="61">
        <f t="shared" si="5"/>
        <v>0</v>
      </c>
      <c r="V23" s="61">
        <f t="shared" si="5"/>
        <v>0</v>
      </c>
      <c r="W23" s="61">
        <f t="shared" si="5"/>
        <v>0</v>
      </c>
      <c r="X23" s="61">
        <f t="shared" si="5"/>
        <v>0</v>
      </c>
      <c r="Y23" s="61">
        <f t="shared" si="5"/>
        <v>0</v>
      </c>
      <c r="Z23" s="61">
        <f t="shared" si="5"/>
        <v>0</v>
      </c>
      <c r="AA23" s="61">
        <f t="shared" si="5"/>
        <v>0</v>
      </c>
      <c r="AB23" s="61">
        <f t="shared" si="5"/>
        <v>0</v>
      </c>
      <c r="AC23" s="61">
        <f t="shared" si="5"/>
        <v>0</v>
      </c>
      <c r="AD23" s="61">
        <f t="shared" si="5"/>
        <v>0</v>
      </c>
      <c r="AE23" s="61">
        <f t="shared" si="5"/>
        <v>0</v>
      </c>
      <c r="AF23" s="61">
        <f t="shared" si="5"/>
        <v>0</v>
      </c>
      <c r="AG23" s="61">
        <f t="shared" si="5"/>
        <v>0</v>
      </c>
      <c r="AH23" s="61">
        <f t="shared" si="5"/>
        <v>0</v>
      </c>
      <c r="AI23" s="61">
        <f t="shared" si="5"/>
        <v>0</v>
      </c>
      <c r="AJ23" s="61">
        <f t="shared" si="5"/>
        <v>0</v>
      </c>
      <c r="AK23" s="61">
        <f t="shared" si="5"/>
        <v>0</v>
      </c>
      <c r="AL23" s="61">
        <f t="shared" si="5"/>
        <v>0</v>
      </c>
      <c r="AM23" s="61">
        <f t="shared" si="5"/>
        <v>0</v>
      </c>
      <c r="AN23" s="61">
        <f t="shared" si="5"/>
        <v>0</v>
      </c>
      <c r="AO23" s="62">
        <f t="shared" si="5"/>
        <v>0</v>
      </c>
      <c r="AP23" s="25"/>
      <c r="AQ23" s="48">
        <v>6.0</v>
      </c>
      <c r="AR23" s="49" t="str">
        <f t="shared" si="4"/>
        <v>No Games - 0%</v>
      </c>
      <c r="AS23" s="50"/>
      <c r="AT23" s="50"/>
      <c r="AU23" s="50"/>
      <c r="AV23" s="50"/>
      <c r="AW23" s="50"/>
      <c r="AX23" s="51"/>
      <c r="AY23" s="1"/>
      <c r="AZ23" s="1"/>
      <c r="BA23" s="3"/>
      <c r="BB23" s="4"/>
      <c r="BC23" s="3"/>
      <c r="BD23" s="1"/>
      <c r="BE23" s="1"/>
      <c r="BF23" s="1"/>
      <c r="BG23" s="1"/>
      <c r="BH23" s="1"/>
      <c r="BI23" s="1"/>
      <c r="BJ23" s="1"/>
      <c r="BK23" s="1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ht="15.75" customHeight="1">
      <c r="A24" s="1"/>
      <c r="B24" s="63" t="s">
        <v>29</v>
      </c>
      <c r="C24" s="64"/>
      <c r="D24" s="64"/>
      <c r="E24" s="64"/>
      <c r="F24" s="64"/>
      <c r="G24" s="64"/>
      <c r="H24" s="64"/>
      <c r="I24" s="64"/>
      <c r="J24" s="65"/>
      <c r="K24" s="66">
        <f t="shared" ref="K24:AO24" si="6">IF(K16="","",COUNTIF($B$35:$H$59,"*"))</f>
        <v>10</v>
      </c>
      <c r="L24" s="66">
        <f t="shared" si="6"/>
        <v>10</v>
      </c>
      <c r="M24" s="66">
        <f t="shared" si="6"/>
        <v>10</v>
      </c>
      <c r="N24" s="66">
        <f t="shared" si="6"/>
        <v>10</v>
      </c>
      <c r="O24" s="66">
        <f t="shared" si="6"/>
        <v>10</v>
      </c>
      <c r="P24" s="66">
        <f t="shared" si="6"/>
        <v>10</v>
      </c>
      <c r="Q24" s="66">
        <f t="shared" si="6"/>
        <v>10</v>
      </c>
      <c r="R24" s="66">
        <f t="shared" si="6"/>
        <v>10</v>
      </c>
      <c r="S24" s="66">
        <f t="shared" si="6"/>
        <v>10</v>
      </c>
      <c r="T24" s="66">
        <f t="shared" si="6"/>
        <v>10</v>
      </c>
      <c r="U24" s="66">
        <f t="shared" si="6"/>
        <v>10</v>
      </c>
      <c r="V24" s="66">
        <f t="shared" si="6"/>
        <v>10</v>
      </c>
      <c r="W24" s="66">
        <f t="shared" si="6"/>
        <v>10</v>
      </c>
      <c r="X24" s="66">
        <f t="shared" si="6"/>
        <v>10</v>
      </c>
      <c r="Y24" s="66">
        <f t="shared" si="6"/>
        <v>10</v>
      </c>
      <c r="Z24" s="66">
        <f t="shared" si="6"/>
        <v>10</v>
      </c>
      <c r="AA24" s="66">
        <f t="shared" si="6"/>
        <v>10</v>
      </c>
      <c r="AB24" s="66">
        <f t="shared" si="6"/>
        <v>10</v>
      </c>
      <c r="AC24" s="66">
        <f t="shared" si="6"/>
        <v>10</v>
      </c>
      <c r="AD24" s="66">
        <f t="shared" si="6"/>
        <v>10</v>
      </c>
      <c r="AE24" s="66">
        <f t="shared" si="6"/>
        <v>10</v>
      </c>
      <c r="AF24" s="66">
        <f t="shared" si="6"/>
        <v>10</v>
      </c>
      <c r="AG24" s="66">
        <f t="shared" si="6"/>
        <v>10</v>
      </c>
      <c r="AH24" s="66">
        <f t="shared" si="6"/>
        <v>10</v>
      </c>
      <c r="AI24" s="66">
        <f t="shared" si="6"/>
        <v>10</v>
      </c>
      <c r="AJ24" s="66">
        <f t="shared" si="6"/>
        <v>10</v>
      </c>
      <c r="AK24" s="66">
        <f t="shared" si="6"/>
        <v>10</v>
      </c>
      <c r="AL24" s="66">
        <f t="shared" si="6"/>
        <v>10</v>
      </c>
      <c r="AM24" s="66">
        <f t="shared" si="6"/>
        <v>10</v>
      </c>
      <c r="AN24" s="66">
        <f t="shared" si="6"/>
        <v>10</v>
      </c>
      <c r="AO24" s="67">
        <f t="shared" si="6"/>
        <v>10</v>
      </c>
      <c r="AP24" s="25"/>
      <c r="AQ24" s="48">
        <v>7.0</v>
      </c>
      <c r="AR24" s="49" t="str">
        <f t="shared" si="4"/>
        <v>Learning &amp; Coding - 0%</v>
      </c>
      <c r="AS24" s="50"/>
      <c r="AT24" s="50"/>
      <c r="AU24" s="50"/>
      <c r="AV24" s="50"/>
      <c r="AW24" s="50"/>
      <c r="AX24" s="51"/>
      <c r="AY24" s="1"/>
      <c r="AZ24" s="1"/>
      <c r="BA24" s="3"/>
      <c r="BB24" s="4"/>
      <c r="BC24" s="3"/>
      <c r="BD24" s="1"/>
      <c r="BE24" s="1"/>
      <c r="BF24" s="1"/>
      <c r="BG24" s="1"/>
      <c r="BH24" s="1"/>
      <c r="BI24" s="1"/>
      <c r="BJ24" s="1"/>
      <c r="BK24" s="1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ht="15.75" customHeight="1">
      <c r="A25" s="1"/>
      <c r="B25" s="63" t="s">
        <v>6</v>
      </c>
      <c r="C25" s="64"/>
      <c r="D25" s="64"/>
      <c r="E25" s="64"/>
      <c r="F25" s="64"/>
      <c r="G25" s="64"/>
      <c r="H25" s="64"/>
      <c r="I25" s="64"/>
      <c r="J25" s="65"/>
      <c r="K25" s="66">
        <f t="shared" ref="K25:AO25" si="7">IF(K16="","",K24-K23)</f>
        <v>10</v>
      </c>
      <c r="L25" s="66">
        <f t="shared" si="7"/>
        <v>10</v>
      </c>
      <c r="M25" s="66">
        <f t="shared" si="7"/>
        <v>10</v>
      </c>
      <c r="N25" s="66">
        <f t="shared" si="7"/>
        <v>10</v>
      </c>
      <c r="O25" s="66">
        <f t="shared" si="7"/>
        <v>10</v>
      </c>
      <c r="P25" s="66">
        <f t="shared" si="7"/>
        <v>10</v>
      </c>
      <c r="Q25" s="66">
        <f t="shared" si="7"/>
        <v>10</v>
      </c>
      <c r="R25" s="66">
        <f t="shared" si="7"/>
        <v>10</v>
      </c>
      <c r="S25" s="66">
        <f t="shared" si="7"/>
        <v>10</v>
      </c>
      <c r="T25" s="66">
        <f t="shared" si="7"/>
        <v>10</v>
      </c>
      <c r="U25" s="66">
        <f t="shared" si="7"/>
        <v>10</v>
      </c>
      <c r="V25" s="66">
        <f t="shared" si="7"/>
        <v>10</v>
      </c>
      <c r="W25" s="66">
        <f t="shared" si="7"/>
        <v>10</v>
      </c>
      <c r="X25" s="66">
        <f t="shared" si="7"/>
        <v>10</v>
      </c>
      <c r="Y25" s="66">
        <f t="shared" si="7"/>
        <v>10</v>
      </c>
      <c r="Z25" s="66">
        <f t="shared" si="7"/>
        <v>10</v>
      </c>
      <c r="AA25" s="66">
        <f t="shared" si="7"/>
        <v>10</v>
      </c>
      <c r="AB25" s="66">
        <f t="shared" si="7"/>
        <v>10</v>
      </c>
      <c r="AC25" s="66">
        <f t="shared" si="7"/>
        <v>10</v>
      </c>
      <c r="AD25" s="66">
        <f t="shared" si="7"/>
        <v>10</v>
      </c>
      <c r="AE25" s="66">
        <f t="shared" si="7"/>
        <v>10</v>
      </c>
      <c r="AF25" s="66">
        <f t="shared" si="7"/>
        <v>10</v>
      </c>
      <c r="AG25" s="66">
        <f t="shared" si="7"/>
        <v>10</v>
      </c>
      <c r="AH25" s="66">
        <f t="shared" si="7"/>
        <v>10</v>
      </c>
      <c r="AI25" s="66">
        <f t="shared" si="7"/>
        <v>10</v>
      </c>
      <c r="AJ25" s="66">
        <f t="shared" si="7"/>
        <v>10</v>
      </c>
      <c r="AK25" s="66">
        <f t="shared" si="7"/>
        <v>10</v>
      </c>
      <c r="AL25" s="66">
        <f t="shared" si="7"/>
        <v>10</v>
      </c>
      <c r="AM25" s="66">
        <f t="shared" si="7"/>
        <v>10</v>
      </c>
      <c r="AN25" s="66">
        <f t="shared" si="7"/>
        <v>10</v>
      </c>
      <c r="AO25" s="67">
        <f t="shared" si="7"/>
        <v>10</v>
      </c>
      <c r="AP25" s="25"/>
      <c r="AQ25" s="48">
        <v>8.0</v>
      </c>
      <c r="AR25" s="49" t="str">
        <f t="shared" si="4"/>
        <v>No Junk Food - 0%</v>
      </c>
      <c r="AS25" s="50"/>
      <c r="AT25" s="50"/>
      <c r="AU25" s="50"/>
      <c r="AV25" s="50"/>
      <c r="AW25" s="50"/>
      <c r="AX25" s="51"/>
      <c r="AY25" s="1"/>
      <c r="AZ25" s="1"/>
      <c r="BA25" s="3"/>
      <c r="BB25" s="4"/>
      <c r="BC25" s="3"/>
      <c r="BD25" s="1"/>
      <c r="BE25" s="1"/>
      <c r="BF25" s="1"/>
      <c r="BG25" s="1"/>
      <c r="BH25" s="1"/>
      <c r="BI25" s="1"/>
      <c r="BJ25" s="1"/>
      <c r="BK25" s="1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ht="15.75" customHeight="1">
      <c r="A26" s="1"/>
      <c r="B26" s="68" t="s">
        <v>30</v>
      </c>
      <c r="C26" s="69"/>
      <c r="D26" s="69"/>
      <c r="E26" s="69"/>
      <c r="F26" s="69"/>
      <c r="G26" s="69"/>
      <c r="H26" s="69"/>
      <c r="I26" s="69"/>
      <c r="J26" s="70"/>
      <c r="K26" s="71" t="str">
        <f>CONCATENATE(SUM(K23:Q23),"/",SUM(K24:Q24))</f>
        <v>0/70</v>
      </c>
      <c r="L26" s="64"/>
      <c r="M26" s="64"/>
      <c r="N26" s="64"/>
      <c r="O26" s="64"/>
      <c r="P26" s="64"/>
      <c r="Q26" s="65"/>
      <c r="R26" s="71" t="str">
        <f>CONCATENATE(SUM(R23:X23),"/",SUM(R24:X24))</f>
        <v>0/70</v>
      </c>
      <c r="S26" s="64"/>
      <c r="T26" s="64"/>
      <c r="U26" s="64"/>
      <c r="V26" s="64"/>
      <c r="W26" s="64"/>
      <c r="X26" s="65"/>
      <c r="Y26" s="71" t="str">
        <f>CONCATENATE(SUM(Y23:AE23),"/",SUM(Y24:AE24))</f>
        <v>0/70</v>
      </c>
      <c r="Z26" s="64"/>
      <c r="AA26" s="64"/>
      <c r="AB26" s="64"/>
      <c r="AC26" s="64"/>
      <c r="AD26" s="64"/>
      <c r="AE26" s="65"/>
      <c r="AF26" s="71" t="str">
        <f>CONCATENATE(SUM(AF23:AL23),"/",SUM(AF24:AL24))</f>
        <v>0/70</v>
      </c>
      <c r="AG26" s="64"/>
      <c r="AH26" s="64"/>
      <c r="AI26" s="64"/>
      <c r="AJ26" s="64"/>
      <c r="AK26" s="64"/>
      <c r="AL26" s="65"/>
      <c r="AM26" s="66" t="str">
        <f>CONCATENATE(SUM(AM23:AO23),"/",SUM(AM24:AO24))</f>
        <v>0/30</v>
      </c>
      <c r="AN26" s="66"/>
      <c r="AO26" s="67"/>
      <c r="AP26" s="25"/>
      <c r="AQ26" s="48">
        <v>9.0</v>
      </c>
      <c r="AR26" s="49" t="str">
        <f t="shared" si="4"/>
        <v>No Softdrinks - 0%</v>
      </c>
      <c r="AS26" s="50"/>
      <c r="AT26" s="50"/>
      <c r="AU26" s="50"/>
      <c r="AV26" s="50"/>
      <c r="AW26" s="50"/>
      <c r="AX26" s="51"/>
      <c r="AY26" s="1"/>
      <c r="AZ26" s="1"/>
      <c r="BA26" s="3"/>
      <c r="BB26" s="4"/>
      <c r="BC26" s="3"/>
      <c r="BD26" s="1"/>
      <c r="BE26" s="1"/>
      <c r="BF26" s="1"/>
      <c r="BG26" s="1"/>
      <c r="BH26" s="1"/>
      <c r="BI26" s="1"/>
      <c r="BJ26" s="1"/>
      <c r="BK26" s="1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ht="15.75" customHeight="1">
      <c r="A27" s="1"/>
      <c r="B27" s="11"/>
      <c r="J27" s="72"/>
      <c r="K27" s="73">
        <f>SUM(K23:Q23)/SUM(K24:Q24)</f>
        <v>0</v>
      </c>
      <c r="L27" s="64"/>
      <c r="M27" s="64"/>
      <c r="N27" s="64"/>
      <c r="O27" s="64"/>
      <c r="P27" s="64"/>
      <c r="Q27" s="65"/>
      <c r="R27" s="73">
        <f>SUM(R23:X23)/SUM(R24:X24)</f>
        <v>0</v>
      </c>
      <c r="S27" s="64"/>
      <c r="T27" s="64"/>
      <c r="U27" s="64"/>
      <c r="V27" s="64"/>
      <c r="W27" s="64"/>
      <c r="X27" s="65"/>
      <c r="Y27" s="73">
        <f>SUM(Y23:AE23)/SUM(Y24:AE24)</f>
        <v>0</v>
      </c>
      <c r="Z27" s="64"/>
      <c r="AA27" s="64"/>
      <c r="AB27" s="64"/>
      <c r="AC27" s="64"/>
      <c r="AD27" s="64"/>
      <c r="AE27" s="65"/>
      <c r="AF27" s="73">
        <f>SUM(AF23:AL23)/SUM(AF24:AL24)</f>
        <v>0</v>
      </c>
      <c r="AG27" s="64"/>
      <c r="AH27" s="64"/>
      <c r="AI27" s="64"/>
      <c r="AJ27" s="64"/>
      <c r="AK27" s="64"/>
      <c r="AL27" s="65"/>
      <c r="AM27" s="74">
        <f>IFERROR(SUM(AM23:AO23)/SUM(AM24:AO24),0)</f>
        <v>0</v>
      </c>
      <c r="AN27" s="66"/>
      <c r="AO27" s="67"/>
      <c r="AP27" s="25"/>
      <c r="AQ27" s="48">
        <v>10.0</v>
      </c>
      <c r="AR27" s="49" t="str">
        <f t="shared" si="4"/>
        <v>Less Screen Time - 0%</v>
      </c>
      <c r="AS27" s="50"/>
      <c r="AT27" s="50"/>
      <c r="AU27" s="50"/>
      <c r="AV27" s="50"/>
      <c r="AW27" s="50"/>
      <c r="AX27" s="51"/>
      <c r="AY27" s="1"/>
      <c r="AZ27" s="1"/>
      <c r="BA27" s="3"/>
      <c r="BB27" s="4"/>
      <c r="BC27" s="3"/>
      <c r="BD27" s="1"/>
      <c r="BE27" s="1"/>
      <c r="BF27" s="1"/>
      <c r="BG27" s="1"/>
      <c r="BH27" s="1"/>
      <c r="BI27" s="1"/>
      <c r="BJ27" s="1"/>
      <c r="BK27" s="1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ht="15.75" customHeight="1">
      <c r="A28" s="1"/>
      <c r="B28" s="13"/>
      <c r="C28" s="14"/>
      <c r="D28" s="14"/>
      <c r="E28" s="14"/>
      <c r="F28" s="14"/>
      <c r="G28" s="14"/>
      <c r="H28" s="14"/>
      <c r="I28" s="14"/>
      <c r="J28" s="75"/>
      <c r="K28" s="76" t="str">
        <f>IFERROR(__xludf.DUMMYFUNCTION("SPARKLINE(K27,{""charttype"", ""bar"";""max"",1;""color1"",""#fad5be""})"),"")</f>
        <v/>
      </c>
      <c r="L28" s="77"/>
      <c r="M28" s="77"/>
      <c r="N28" s="77"/>
      <c r="O28" s="77"/>
      <c r="P28" s="77"/>
      <c r="Q28" s="78"/>
      <c r="R28" s="76" t="str">
        <f>IFERROR(__xludf.DUMMYFUNCTION("SPARKLINE(R27,{""charttype"", ""bar"";""max"",1;""color1"",""#efd2e0""})"),"")</f>
        <v/>
      </c>
      <c r="S28" s="77"/>
      <c r="T28" s="77"/>
      <c r="U28" s="77"/>
      <c r="V28" s="77"/>
      <c r="W28" s="77"/>
      <c r="X28" s="78"/>
      <c r="Y28" s="76" t="str">
        <f>IFERROR(__xludf.DUMMYFUNCTION("SPARKLINE(Y27,{""charttype"", ""bar"";""max"",1;""color1"",""#9fc5ed""})"),"")</f>
        <v/>
      </c>
      <c r="Z28" s="77"/>
      <c r="AA28" s="77"/>
      <c r="AB28" s="77"/>
      <c r="AC28" s="77"/>
      <c r="AD28" s="77"/>
      <c r="AE28" s="78"/>
      <c r="AF28" s="76" t="str">
        <f>IFERROR(__xludf.DUMMYFUNCTION("SPARKLINE(AF27,{""charttype"", ""bar"";""max"",1;""color1"",""#fff0c2""})"),"")</f>
        <v/>
      </c>
      <c r="AG28" s="77"/>
      <c r="AH28" s="77"/>
      <c r="AI28" s="77"/>
      <c r="AJ28" s="77"/>
      <c r="AK28" s="77"/>
      <c r="AL28" s="78"/>
      <c r="AM28" s="79" t="str">
        <f>IFERROR(__xludf.DUMMYFUNCTION("SPARKLINE(AM27,{""charttype"", ""bar"";""max"",1;""color1"",""#d9ead3""})"),"")</f>
        <v/>
      </c>
      <c r="AN28" s="79"/>
      <c r="AO28" s="80"/>
      <c r="AP28" s="2"/>
      <c r="AQ28" s="81"/>
      <c r="AR28" s="82"/>
      <c r="AS28" s="82"/>
      <c r="AT28" s="82"/>
      <c r="AU28" s="82"/>
      <c r="AV28" s="82"/>
      <c r="AW28" s="82"/>
      <c r="AX28" s="83"/>
      <c r="AY28" s="1"/>
      <c r="AZ28" s="1"/>
      <c r="BA28" s="3"/>
      <c r="BB28" s="4"/>
      <c r="BC28" s="3"/>
      <c r="BD28" s="1"/>
      <c r="BE28" s="1"/>
      <c r="BF28" s="1"/>
      <c r="BG28" s="1"/>
      <c r="BH28" s="1"/>
      <c r="BI28" s="1"/>
      <c r="BJ28" s="1"/>
      <c r="BK28" s="1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R29" s="2"/>
      <c r="Y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5"/>
      <c r="AU29" s="84"/>
      <c r="AV29" s="25"/>
      <c r="AW29" s="2"/>
      <c r="AX29" s="2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1"/>
      <c r="AZ30" s="1"/>
      <c r="BA30" s="3"/>
      <c r="BB30" s="4"/>
      <c r="BC30" s="3"/>
      <c r="BD30" s="1"/>
      <c r="BE30" s="1"/>
      <c r="BF30" s="1"/>
      <c r="BG30" s="1"/>
      <c r="BH30" s="1"/>
      <c r="BI30" s="1"/>
      <c r="BJ30" s="1"/>
      <c r="BK30" s="1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ht="15.75" customHeight="1">
      <c r="A31" s="1"/>
      <c r="B31" s="85" t="s">
        <v>31</v>
      </c>
      <c r="C31" s="6"/>
      <c r="D31" s="6"/>
      <c r="E31" s="6"/>
      <c r="F31" s="6"/>
      <c r="G31" s="6"/>
      <c r="H31" s="6"/>
      <c r="I31" s="86" t="s">
        <v>32</v>
      </c>
      <c r="J31" s="6"/>
      <c r="K31" s="32" t="s">
        <v>21</v>
      </c>
      <c r="L31" s="6"/>
      <c r="M31" s="6"/>
      <c r="N31" s="6"/>
      <c r="O31" s="6"/>
      <c r="P31" s="6"/>
      <c r="Q31" s="6"/>
      <c r="R31" s="33" t="s">
        <v>22</v>
      </c>
      <c r="S31" s="6"/>
      <c r="T31" s="6"/>
      <c r="U31" s="6"/>
      <c r="V31" s="6"/>
      <c r="W31" s="6"/>
      <c r="X31" s="6"/>
      <c r="Y31" s="34" t="s">
        <v>23</v>
      </c>
      <c r="Z31" s="6"/>
      <c r="AA31" s="6"/>
      <c r="AB31" s="6"/>
      <c r="AC31" s="6"/>
      <c r="AD31" s="6"/>
      <c r="AE31" s="6"/>
      <c r="AF31" s="35" t="s">
        <v>24</v>
      </c>
      <c r="AG31" s="6"/>
      <c r="AH31" s="6"/>
      <c r="AI31" s="6"/>
      <c r="AJ31" s="6"/>
      <c r="AK31" s="6"/>
      <c r="AL31" s="6"/>
      <c r="AM31" s="36" t="s">
        <v>25</v>
      </c>
      <c r="AN31" s="6"/>
      <c r="AO31" s="7"/>
      <c r="AP31" s="2"/>
      <c r="AQ31" s="87" t="s">
        <v>4</v>
      </c>
      <c r="AR31" s="88" t="s">
        <v>6</v>
      </c>
      <c r="AS31" s="89" t="s">
        <v>33</v>
      </c>
      <c r="AT31" s="21"/>
      <c r="AU31" s="21"/>
      <c r="AV31" s="21"/>
      <c r="AW31" s="21"/>
      <c r="AX31" s="90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</row>
    <row r="32" ht="15.75" customHeight="1">
      <c r="A32" s="1"/>
      <c r="B32" s="11"/>
      <c r="AO32" s="12"/>
      <c r="AP32" s="2"/>
      <c r="AQ32" s="91"/>
      <c r="AS32" s="92">
        <f>BH2/BH4</f>
        <v>0</v>
      </c>
      <c r="AT32" s="93" t="str">
        <f>IFERROR(__xludf.DUMMYFUNCTION("IF(B35="""","""",SPARKLINE(AS32,{""charttype"", ""bar"";""max"",1;""color1"",""#fad5be""}))"),"")</f>
        <v/>
      </c>
      <c r="AX32" s="94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</row>
    <row r="33" ht="15.75" customHeight="1">
      <c r="A33" s="1"/>
      <c r="B33" s="11"/>
      <c r="K33" s="38">
        <f t="shared" ref="K33:AO33" si="8">K34</f>
        <v>46023</v>
      </c>
      <c r="L33" s="38">
        <f t="shared" si="8"/>
        <v>46024</v>
      </c>
      <c r="M33" s="38">
        <f t="shared" si="8"/>
        <v>46025</v>
      </c>
      <c r="N33" s="38">
        <f t="shared" si="8"/>
        <v>46026</v>
      </c>
      <c r="O33" s="38">
        <f t="shared" si="8"/>
        <v>46027</v>
      </c>
      <c r="P33" s="38">
        <f t="shared" si="8"/>
        <v>46028</v>
      </c>
      <c r="Q33" s="38">
        <f t="shared" si="8"/>
        <v>46029</v>
      </c>
      <c r="R33" s="38">
        <f t="shared" si="8"/>
        <v>46030</v>
      </c>
      <c r="S33" s="38">
        <f t="shared" si="8"/>
        <v>46031</v>
      </c>
      <c r="T33" s="38">
        <f t="shared" si="8"/>
        <v>46032</v>
      </c>
      <c r="U33" s="38">
        <f t="shared" si="8"/>
        <v>46033</v>
      </c>
      <c r="V33" s="38">
        <f t="shared" si="8"/>
        <v>46034</v>
      </c>
      <c r="W33" s="38">
        <f t="shared" si="8"/>
        <v>46035</v>
      </c>
      <c r="X33" s="38">
        <f t="shared" si="8"/>
        <v>46036</v>
      </c>
      <c r="Y33" s="38">
        <f t="shared" si="8"/>
        <v>46037</v>
      </c>
      <c r="Z33" s="38">
        <f t="shared" si="8"/>
        <v>46038</v>
      </c>
      <c r="AA33" s="38">
        <f t="shared" si="8"/>
        <v>46039</v>
      </c>
      <c r="AB33" s="38">
        <f t="shared" si="8"/>
        <v>46040</v>
      </c>
      <c r="AC33" s="38">
        <f t="shared" si="8"/>
        <v>46041</v>
      </c>
      <c r="AD33" s="38">
        <f t="shared" si="8"/>
        <v>46042</v>
      </c>
      <c r="AE33" s="38">
        <f t="shared" si="8"/>
        <v>46043</v>
      </c>
      <c r="AF33" s="38">
        <f t="shared" si="8"/>
        <v>46044</v>
      </c>
      <c r="AG33" s="38">
        <f t="shared" si="8"/>
        <v>46045</v>
      </c>
      <c r="AH33" s="38">
        <f t="shared" si="8"/>
        <v>46046</v>
      </c>
      <c r="AI33" s="38">
        <f t="shared" si="8"/>
        <v>46047</v>
      </c>
      <c r="AJ33" s="38">
        <f t="shared" si="8"/>
        <v>46048</v>
      </c>
      <c r="AK33" s="38">
        <f t="shared" si="8"/>
        <v>46049</v>
      </c>
      <c r="AL33" s="38">
        <f t="shared" si="8"/>
        <v>46050</v>
      </c>
      <c r="AM33" s="38">
        <f t="shared" si="8"/>
        <v>46051</v>
      </c>
      <c r="AN33" s="38">
        <f t="shared" si="8"/>
        <v>46052</v>
      </c>
      <c r="AO33" s="39">
        <f t="shared" si="8"/>
        <v>46053</v>
      </c>
      <c r="AP33" s="2"/>
      <c r="AQ33" s="91"/>
      <c r="AX33" s="94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ht="15.75" customHeight="1">
      <c r="A34" s="1"/>
      <c r="B34" s="16"/>
      <c r="C34" s="17"/>
      <c r="D34" s="17"/>
      <c r="E34" s="17"/>
      <c r="F34" s="17"/>
      <c r="G34" s="17"/>
      <c r="H34" s="17"/>
      <c r="I34" s="17"/>
      <c r="J34" s="17"/>
      <c r="K34" s="40">
        <f>DATE(E10, VLOOKUP(E11,BB1:BC12,2,FALSE),1)</f>
        <v>46023</v>
      </c>
      <c r="L34" s="40">
        <f t="shared" ref="L34:AO34" si="9">IF(MONTH(K34+1)=MONTH($K$34),K34+1,"")</f>
        <v>46024</v>
      </c>
      <c r="M34" s="40">
        <f t="shared" si="9"/>
        <v>46025</v>
      </c>
      <c r="N34" s="40">
        <f t="shared" si="9"/>
        <v>46026</v>
      </c>
      <c r="O34" s="40">
        <f t="shared" si="9"/>
        <v>46027</v>
      </c>
      <c r="P34" s="40">
        <f t="shared" si="9"/>
        <v>46028</v>
      </c>
      <c r="Q34" s="40">
        <f t="shared" si="9"/>
        <v>46029</v>
      </c>
      <c r="R34" s="40">
        <f t="shared" si="9"/>
        <v>46030</v>
      </c>
      <c r="S34" s="40">
        <f t="shared" si="9"/>
        <v>46031</v>
      </c>
      <c r="T34" s="40">
        <f t="shared" si="9"/>
        <v>46032</v>
      </c>
      <c r="U34" s="40">
        <f t="shared" si="9"/>
        <v>46033</v>
      </c>
      <c r="V34" s="40">
        <f t="shared" si="9"/>
        <v>46034</v>
      </c>
      <c r="W34" s="40">
        <f t="shared" si="9"/>
        <v>46035</v>
      </c>
      <c r="X34" s="40">
        <f t="shared" si="9"/>
        <v>46036</v>
      </c>
      <c r="Y34" s="40">
        <f t="shared" si="9"/>
        <v>46037</v>
      </c>
      <c r="Z34" s="40">
        <f t="shared" si="9"/>
        <v>46038</v>
      </c>
      <c r="AA34" s="40">
        <f t="shared" si="9"/>
        <v>46039</v>
      </c>
      <c r="AB34" s="40">
        <f t="shared" si="9"/>
        <v>46040</v>
      </c>
      <c r="AC34" s="40">
        <f t="shared" si="9"/>
        <v>46041</v>
      </c>
      <c r="AD34" s="40">
        <f t="shared" si="9"/>
        <v>46042</v>
      </c>
      <c r="AE34" s="40">
        <f t="shared" si="9"/>
        <v>46043</v>
      </c>
      <c r="AF34" s="40">
        <f t="shared" si="9"/>
        <v>46044</v>
      </c>
      <c r="AG34" s="40">
        <f t="shared" si="9"/>
        <v>46045</v>
      </c>
      <c r="AH34" s="40">
        <f t="shared" si="9"/>
        <v>46046</v>
      </c>
      <c r="AI34" s="40">
        <f t="shared" si="9"/>
        <v>46047</v>
      </c>
      <c r="AJ34" s="40">
        <f t="shared" si="9"/>
        <v>46048</v>
      </c>
      <c r="AK34" s="40">
        <f t="shared" si="9"/>
        <v>46049</v>
      </c>
      <c r="AL34" s="40">
        <f t="shared" si="9"/>
        <v>46050</v>
      </c>
      <c r="AM34" s="40">
        <f t="shared" si="9"/>
        <v>46051</v>
      </c>
      <c r="AN34" s="40">
        <f t="shared" si="9"/>
        <v>46052</v>
      </c>
      <c r="AO34" s="41">
        <f t="shared" si="9"/>
        <v>46053</v>
      </c>
      <c r="AP34" s="2"/>
      <c r="AQ34" s="91"/>
      <c r="AX34" s="94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ht="15.75" customHeight="1">
      <c r="A35" s="3">
        <v>1.0</v>
      </c>
      <c r="B35" s="95" t="s">
        <v>34</v>
      </c>
      <c r="C35" s="96"/>
      <c r="D35" s="96"/>
      <c r="E35" s="96"/>
      <c r="F35" s="96"/>
      <c r="G35" s="96"/>
      <c r="H35" s="97"/>
      <c r="I35" s="98">
        <v>11.0</v>
      </c>
      <c r="J35" s="97"/>
      <c r="K35" s="99" t="b">
        <v>0</v>
      </c>
      <c r="L35" s="99" t="b">
        <v>0</v>
      </c>
      <c r="M35" s="99" t="b">
        <v>0</v>
      </c>
      <c r="N35" s="99" t="b">
        <v>0</v>
      </c>
      <c r="O35" s="99" t="b">
        <v>0</v>
      </c>
      <c r="P35" s="99" t="b">
        <v>0</v>
      </c>
      <c r="Q35" s="99" t="b">
        <v>0</v>
      </c>
      <c r="R35" s="99" t="b">
        <v>0</v>
      </c>
      <c r="S35" s="99" t="b">
        <v>0</v>
      </c>
      <c r="T35" s="99" t="b">
        <v>0</v>
      </c>
      <c r="U35" s="99" t="b">
        <v>0</v>
      </c>
      <c r="V35" s="99" t="b">
        <v>0</v>
      </c>
      <c r="W35" s="99" t="b">
        <v>0</v>
      </c>
      <c r="X35" s="99" t="b">
        <v>0</v>
      </c>
      <c r="Y35" s="99" t="b">
        <v>0</v>
      </c>
      <c r="Z35" s="100" t="b">
        <v>0</v>
      </c>
      <c r="AA35" s="99" t="b">
        <v>0</v>
      </c>
      <c r="AB35" s="99" t="b">
        <v>0</v>
      </c>
      <c r="AC35" s="99" t="b">
        <v>0</v>
      </c>
      <c r="AD35" s="99" t="b">
        <v>0</v>
      </c>
      <c r="AE35" s="99" t="b">
        <v>0</v>
      </c>
      <c r="AF35" s="99" t="b">
        <v>0</v>
      </c>
      <c r="AG35" s="99" t="b">
        <v>0</v>
      </c>
      <c r="AH35" s="99" t="b">
        <v>0</v>
      </c>
      <c r="AI35" s="99" t="b">
        <v>0</v>
      </c>
      <c r="AJ35" s="99" t="b">
        <v>0</v>
      </c>
      <c r="AK35" s="99" t="b">
        <v>0</v>
      </c>
      <c r="AL35" s="99" t="b">
        <v>0</v>
      </c>
      <c r="AM35" s="99" t="b">
        <v>0</v>
      </c>
      <c r="AN35" s="99" t="b">
        <v>0</v>
      </c>
      <c r="AO35" s="101" t="b">
        <v>0</v>
      </c>
      <c r="AP35" s="2"/>
      <c r="AQ35" s="102">
        <f t="shared" ref="AQ35:AQ59" si="10">IF(B35="","", COUNTIF(K35:AO35,TRUE))</f>
        <v>0</v>
      </c>
      <c r="AR35" s="103">
        <f t="shared" ref="AR35:AR59" si="11">IF(B35="","",I35-AQ35)</f>
        <v>11</v>
      </c>
      <c r="AS35" s="104">
        <f t="shared" ref="AS35:AS59" si="12">IF(B35="","",IFERROR(AQ35/I35,""))</f>
        <v>0</v>
      </c>
      <c r="AT35" s="105" t="str">
        <f>IFERROR(__xludf.DUMMYFUNCTION("IF(B35="""","""",SPARKLINE(AS35,{""charttype"", ""bar"";""max"",1;""color1"",""#fad5be""}))"),"")</f>
        <v/>
      </c>
      <c r="AU35" s="106"/>
      <c r="AV35" s="106"/>
      <c r="AW35" s="106"/>
      <c r="AX35" s="107"/>
      <c r="AY35" s="108">
        <f t="shared" ref="AY35:AY59" si="13">IF(AS35="",0,AS35)</f>
        <v>0</v>
      </c>
      <c r="AZ35" s="1"/>
      <c r="BA35" s="109" t="str">
        <f t="array" ref="BA35:BG59">SORT(B35:H59,AY35:AY59,FALSE)</f>
        <v>Good Sleep Timing</v>
      </c>
      <c r="BB35" s="1"/>
      <c r="BC35" s="1"/>
      <c r="BD35" s="1"/>
      <c r="BE35" s="1"/>
      <c r="BF35" s="1"/>
      <c r="BG35" s="1"/>
      <c r="BH35" s="1"/>
      <c r="BI35" s="1"/>
      <c r="BJ35" s="1"/>
      <c r="BK35" s="30">
        <f t="shared" ref="BK35:BK59" si="14">IFERROR(VLOOKUP(BA35,$B$35:AY59,50, FALSE),"")</f>
        <v>0</v>
      </c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ht="15.75" customHeight="1">
      <c r="A36" s="3">
        <v>2.0</v>
      </c>
      <c r="B36" s="110" t="s">
        <v>35</v>
      </c>
      <c r="C36" s="111"/>
      <c r="D36" s="111"/>
      <c r="E36" s="111"/>
      <c r="F36" s="111"/>
      <c r="G36" s="111"/>
      <c r="H36" s="112"/>
      <c r="I36" s="113">
        <v>11.0</v>
      </c>
      <c r="J36" s="112"/>
      <c r="K36" s="114" t="b">
        <v>0</v>
      </c>
      <c r="L36" s="115" t="b">
        <v>0</v>
      </c>
      <c r="M36" s="115" t="b">
        <v>0</v>
      </c>
      <c r="N36" s="115" t="b">
        <v>0</v>
      </c>
      <c r="O36" s="114" t="b">
        <v>0</v>
      </c>
      <c r="P36" s="114" t="b">
        <v>0</v>
      </c>
      <c r="Q36" s="115" t="b">
        <v>0</v>
      </c>
      <c r="R36" s="114" t="b">
        <v>0</v>
      </c>
      <c r="S36" s="114" t="b">
        <v>0</v>
      </c>
      <c r="T36" s="115" t="b">
        <v>0</v>
      </c>
      <c r="U36" s="114" t="b">
        <v>0</v>
      </c>
      <c r="V36" s="114" t="b">
        <v>0</v>
      </c>
      <c r="W36" s="114" t="b">
        <v>0</v>
      </c>
      <c r="X36" s="114" t="b">
        <v>0</v>
      </c>
      <c r="Y36" s="115" t="b">
        <v>0</v>
      </c>
      <c r="Z36" s="115" t="b">
        <v>0</v>
      </c>
      <c r="AA36" s="114" t="b">
        <v>0</v>
      </c>
      <c r="AB36" s="115" t="b">
        <v>0</v>
      </c>
      <c r="AC36" s="115" t="b">
        <v>0</v>
      </c>
      <c r="AD36" s="115" t="b">
        <v>0</v>
      </c>
      <c r="AE36" s="114" t="b">
        <v>0</v>
      </c>
      <c r="AF36" s="114" t="b">
        <v>0</v>
      </c>
      <c r="AG36" s="115" t="b">
        <v>0</v>
      </c>
      <c r="AH36" s="114" t="b">
        <v>0</v>
      </c>
      <c r="AI36" s="114" t="b">
        <v>0</v>
      </c>
      <c r="AJ36" s="114" t="b">
        <v>0</v>
      </c>
      <c r="AK36" s="114" t="b">
        <v>0</v>
      </c>
      <c r="AL36" s="114" t="b">
        <v>0</v>
      </c>
      <c r="AM36" s="114" t="b">
        <v>0</v>
      </c>
      <c r="AN36" s="114" t="b">
        <v>0</v>
      </c>
      <c r="AO36" s="116" t="b">
        <v>0</v>
      </c>
      <c r="AP36" s="2"/>
      <c r="AQ36" s="117">
        <f t="shared" si="10"/>
        <v>0</v>
      </c>
      <c r="AR36" s="118">
        <f t="shared" si="11"/>
        <v>11</v>
      </c>
      <c r="AS36" s="119">
        <f t="shared" si="12"/>
        <v>0</v>
      </c>
      <c r="AT36" s="120" t="str">
        <f>IFERROR(__xludf.DUMMYFUNCTION("IF(B36="""","""",SPARKLINE(AS36,{""charttype"", ""bar"";""max"",1;""color1"",""#fad5be""}))"),"")</f>
        <v/>
      </c>
      <c r="AU36" s="121"/>
      <c r="AV36" s="121"/>
      <c r="AW36" s="121"/>
      <c r="AX36" s="122"/>
      <c r="AY36" s="108">
        <f t="shared" si="13"/>
        <v>0</v>
      </c>
      <c r="AZ36" s="1"/>
      <c r="BA36" s="109" t="s">
        <v>35</v>
      </c>
      <c r="BB36" s="1"/>
      <c r="BC36" s="1"/>
      <c r="BD36" s="1"/>
      <c r="BE36" s="1"/>
      <c r="BF36" s="1"/>
      <c r="BG36" s="1"/>
      <c r="BH36" s="1"/>
      <c r="BI36" s="1"/>
      <c r="BJ36" s="1"/>
      <c r="BK36" s="30">
        <f t="shared" si="14"/>
        <v>0</v>
      </c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ht="15.75" customHeight="1">
      <c r="A37" s="3">
        <v>3.0</v>
      </c>
      <c r="B37" s="110" t="s">
        <v>36</v>
      </c>
      <c r="C37" s="111"/>
      <c r="D37" s="111"/>
      <c r="E37" s="111"/>
      <c r="F37" s="111"/>
      <c r="G37" s="111"/>
      <c r="H37" s="112"/>
      <c r="I37" s="113">
        <v>11.0</v>
      </c>
      <c r="J37" s="112"/>
      <c r="K37" s="114" t="b">
        <v>0</v>
      </c>
      <c r="L37" s="115" t="b">
        <v>0</v>
      </c>
      <c r="M37" s="114" t="b">
        <v>0</v>
      </c>
      <c r="N37" s="114" t="b">
        <v>0</v>
      </c>
      <c r="O37" s="115" t="b">
        <v>0</v>
      </c>
      <c r="P37" s="115" t="b">
        <v>0</v>
      </c>
      <c r="Q37" s="115" t="b">
        <v>0</v>
      </c>
      <c r="R37" s="115" t="b">
        <v>0</v>
      </c>
      <c r="S37" s="115" t="b">
        <v>0</v>
      </c>
      <c r="T37" s="115" t="b">
        <v>0</v>
      </c>
      <c r="U37" s="115" t="b">
        <v>0</v>
      </c>
      <c r="V37" s="115" t="b">
        <v>0</v>
      </c>
      <c r="W37" s="115" t="b">
        <v>0</v>
      </c>
      <c r="X37" s="114" t="b">
        <v>0</v>
      </c>
      <c r="Y37" s="115" t="b">
        <v>0</v>
      </c>
      <c r="Z37" s="115" t="b">
        <v>0</v>
      </c>
      <c r="AA37" s="114" t="b">
        <v>0</v>
      </c>
      <c r="AB37" s="115"/>
      <c r="AC37" s="115" t="b">
        <v>0</v>
      </c>
      <c r="AD37" s="114" t="b">
        <v>0</v>
      </c>
      <c r="AE37" s="114" t="b">
        <v>0</v>
      </c>
      <c r="AF37" s="114" t="b">
        <v>0</v>
      </c>
      <c r="AG37" s="114" t="b">
        <v>0</v>
      </c>
      <c r="AH37" s="115" t="b">
        <v>0</v>
      </c>
      <c r="AI37" s="115" t="b">
        <v>0</v>
      </c>
      <c r="AJ37" s="115" t="b">
        <v>0</v>
      </c>
      <c r="AK37" s="115" t="b">
        <v>0</v>
      </c>
      <c r="AL37" s="115" t="b">
        <v>0</v>
      </c>
      <c r="AM37" s="115" t="b">
        <v>0</v>
      </c>
      <c r="AN37" s="115" t="b">
        <v>0</v>
      </c>
      <c r="AO37" s="123" t="b">
        <v>0</v>
      </c>
      <c r="AP37" s="2"/>
      <c r="AQ37" s="117">
        <f t="shared" si="10"/>
        <v>0</v>
      </c>
      <c r="AR37" s="118">
        <f t="shared" si="11"/>
        <v>11</v>
      </c>
      <c r="AS37" s="119">
        <f t="shared" si="12"/>
        <v>0</v>
      </c>
      <c r="AT37" s="120" t="str">
        <f>IFERROR(__xludf.DUMMYFUNCTION("IF(B37="""","""",SPARKLINE(AS37,{""charttype"", ""bar"";""max"",1;""color1"",""#fad5be""}))"),"")</f>
        <v/>
      </c>
      <c r="AU37" s="121"/>
      <c r="AV37" s="121"/>
      <c r="AW37" s="121"/>
      <c r="AX37" s="122"/>
      <c r="AY37" s="108">
        <f t="shared" si="13"/>
        <v>0</v>
      </c>
      <c r="AZ37" s="1"/>
      <c r="BA37" s="109" t="s">
        <v>36</v>
      </c>
      <c r="BB37" s="1"/>
      <c r="BC37" s="1"/>
      <c r="BD37" s="1"/>
      <c r="BE37" s="1"/>
      <c r="BF37" s="1"/>
      <c r="BG37" s="1"/>
      <c r="BH37" s="1"/>
      <c r="BI37" s="1"/>
      <c r="BJ37" s="1"/>
      <c r="BK37" s="30">
        <f t="shared" si="14"/>
        <v>0</v>
      </c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ht="15.75" customHeight="1">
      <c r="A38" s="3">
        <v>4.0</v>
      </c>
      <c r="B38" s="110" t="s">
        <v>37</v>
      </c>
      <c r="C38" s="111"/>
      <c r="D38" s="111"/>
      <c r="E38" s="111"/>
      <c r="F38" s="111"/>
      <c r="G38" s="111"/>
      <c r="H38" s="112"/>
      <c r="I38" s="113">
        <v>10.0</v>
      </c>
      <c r="J38" s="112"/>
      <c r="K38" s="114" t="b">
        <v>0</v>
      </c>
      <c r="L38" s="114" t="b">
        <v>0</v>
      </c>
      <c r="M38" s="114" t="b">
        <v>0</v>
      </c>
      <c r="N38" s="114" t="b">
        <v>0</v>
      </c>
      <c r="O38" s="114" t="b">
        <v>0</v>
      </c>
      <c r="P38" s="114" t="b">
        <v>0</v>
      </c>
      <c r="Q38" s="115" t="b">
        <v>0</v>
      </c>
      <c r="R38" s="114" t="b">
        <v>0</v>
      </c>
      <c r="S38" s="115" t="b">
        <v>0</v>
      </c>
      <c r="T38" s="115" t="b">
        <v>0</v>
      </c>
      <c r="U38" s="115" t="b">
        <v>0</v>
      </c>
      <c r="V38" s="114" t="b">
        <v>0</v>
      </c>
      <c r="W38" s="114" t="b">
        <v>0</v>
      </c>
      <c r="X38" s="114" t="b">
        <v>0</v>
      </c>
      <c r="Y38" s="115" t="b">
        <v>0</v>
      </c>
      <c r="Z38" s="115" t="b">
        <v>0</v>
      </c>
      <c r="AA38" s="114" t="b">
        <v>0</v>
      </c>
      <c r="AB38" s="114" t="b">
        <v>0</v>
      </c>
      <c r="AC38" s="115" t="b">
        <v>0</v>
      </c>
      <c r="AD38" s="114" t="b">
        <v>0</v>
      </c>
      <c r="AE38" s="114" t="b">
        <v>0</v>
      </c>
      <c r="AF38" s="114" t="b">
        <v>0</v>
      </c>
      <c r="AG38" s="114" t="b">
        <v>0</v>
      </c>
      <c r="AH38" s="114" t="b">
        <v>0</v>
      </c>
      <c r="AI38" s="115" t="b">
        <v>0</v>
      </c>
      <c r="AJ38" s="115" t="b">
        <v>0</v>
      </c>
      <c r="AK38" s="114" t="b">
        <v>0</v>
      </c>
      <c r="AL38" s="114" t="b">
        <v>0</v>
      </c>
      <c r="AM38" s="115" t="b">
        <v>0</v>
      </c>
      <c r="AN38" s="115" t="b">
        <v>0</v>
      </c>
      <c r="AO38" s="123" t="b">
        <v>0</v>
      </c>
      <c r="AP38" s="2"/>
      <c r="AQ38" s="117">
        <f t="shared" si="10"/>
        <v>0</v>
      </c>
      <c r="AR38" s="118">
        <f t="shared" si="11"/>
        <v>10</v>
      </c>
      <c r="AS38" s="119">
        <f t="shared" si="12"/>
        <v>0</v>
      </c>
      <c r="AT38" s="120" t="str">
        <f>IFERROR(__xludf.DUMMYFUNCTION("IF(B38="""","""",SPARKLINE(AS38,{""charttype"", ""bar"";""max"",1;""color1"",""#fad5be""}))"),"")</f>
        <v/>
      </c>
      <c r="AU38" s="121"/>
      <c r="AV38" s="121"/>
      <c r="AW38" s="121"/>
      <c r="AX38" s="122"/>
      <c r="AY38" s="108">
        <f t="shared" si="13"/>
        <v>0</v>
      </c>
      <c r="AZ38" s="1"/>
      <c r="BA38" s="109" t="s">
        <v>37</v>
      </c>
      <c r="BB38" s="1"/>
      <c r="BC38" s="1"/>
      <c r="BD38" s="1"/>
      <c r="BE38" s="1"/>
      <c r="BF38" s="1"/>
      <c r="BG38" s="1"/>
      <c r="BH38" s="1"/>
      <c r="BI38" s="1"/>
      <c r="BJ38" s="1"/>
      <c r="BK38" s="30">
        <f t="shared" si="14"/>
        <v>0</v>
      </c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ht="15.75" customHeight="1">
      <c r="A39" s="3">
        <v>5.0</v>
      </c>
      <c r="B39" s="110" t="s">
        <v>38</v>
      </c>
      <c r="C39" s="111"/>
      <c r="D39" s="111"/>
      <c r="E39" s="111"/>
      <c r="F39" s="111"/>
      <c r="G39" s="111"/>
      <c r="H39" s="112"/>
      <c r="I39" s="113">
        <v>10.0</v>
      </c>
      <c r="J39" s="112"/>
      <c r="K39" s="114" t="b">
        <v>0</v>
      </c>
      <c r="L39" s="115" t="b">
        <v>0</v>
      </c>
      <c r="M39" s="115" t="b">
        <v>0</v>
      </c>
      <c r="N39" s="115" t="b">
        <v>0</v>
      </c>
      <c r="O39" s="115" t="b">
        <v>0</v>
      </c>
      <c r="P39" s="114" t="b">
        <v>0</v>
      </c>
      <c r="Q39" s="115" t="b">
        <v>0</v>
      </c>
      <c r="R39" s="114" t="b">
        <v>0</v>
      </c>
      <c r="S39" s="115" t="b">
        <v>0</v>
      </c>
      <c r="T39" s="115" t="b">
        <v>0</v>
      </c>
      <c r="U39" s="114" t="b">
        <v>0</v>
      </c>
      <c r="V39" s="115" t="b">
        <v>0</v>
      </c>
      <c r="W39" s="115" t="b">
        <v>0</v>
      </c>
      <c r="X39" s="115" t="b">
        <v>0</v>
      </c>
      <c r="Y39" s="115" t="b">
        <v>0</v>
      </c>
      <c r="Z39" s="115" t="b">
        <v>0</v>
      </c>
      <c r="AA39" s="114" t="b">
        <v>0</v>
      </c>
      <c r="AB39" s="115" t="b">
        <v>0</v>
      </c>
      <c r="AC39" s="115" t="b">
        <v>0</v>
      </c>
      <c r="AD39" s="115" t="b">
        <v>0</v>
      </c>
      <c r="AE39" s="114" t="b">
        <v>0</v>
      </c>
      <c r="AF39" s="114" t="b">
        <v>0</v>
      </c>
      <c r="AG39" s="114" t="b">
        <v>0</v>
      </c>
      <c r="AH39" s="114" t="b">
        <v>0</v>
      </c>
      <c r="AI39" s="114" t="b">
        <v>0</v>
      </c>
      <c r="AJ39" s="114" t="b">
        <v>0</v>
      </c>
      <c r="AK39" s="114" t="b">
        <v>0</v>
      </c>
      <c r="AL39" s="114" t="b">
        <v>0</v>
      </c>
      <c r="AM39" s="114" t="b">
        <v>0</v>
      </c>
      <c r="AN39" s="114" t="b">
        <v>0</v>
      </c>
      <c r="AO39" s="116" t="b">
        <v>0</v>
      </c>
      <c r="AP39" s="2"/>
      <c r="AQ39" s="117">
        <f t="shared" si="10"/>
        <v>0</v>
      </c>
      <c r="AR39" s="118">
        <f t="shared" si="11"/>
        <v>10</v>
      </c>
      <c r="AS39" s="119">
        <f t="shared" si="12"/>
        <v>0</v>
      </c>
      <c r="AT39" s="120" t="str">
        <f>IFERROR(__xludf.DUMMYFUNCTION("IF(B39="""","""",SPARKLINE(AS39,{""charttype"", ""bar"";""max"",1;""color1"",""#fad5be""}))"),"")</f>
        <v/>
      </c>
      <c r="AU39" s="121"/>
      <c r="AV39" s="121"/>
      <c r="AW39" s="121"/>
      <c r="AX39" s="122"/>
      <c r="AY39" s="108">
        <f t="shared" si="13"/>
        <v>0</v>
      </c>
      <c r="AZ39" s="1"/>
      <c r="BA39" s="109" t="s">
        <v>38</v>
      </c>
      <c r="BB39" s="1"/>
      <c r="BC39" s="1"/>
      <c r="BD39" s="1"/>
      <c r="BE39" s="1"/>
      <c r="BF39" s="1"/>
      <c r="BG39" s="1"/>
      <c r="BH39" s="1"/>
      <c r="BI39" s="1"/>
      <c r="BJ39" s="1"/>
      <c r="BK39" s="30">
        <f t="shared" si="14"/>
        <v>0</v>
      </c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ht="15.75" customHeight="1">
      <c r="A40" s="3">
        <v>6.0</v>
      </c>
      <c r="B40" s="110" t="s">
        <v>39</v>
      </c>
      <c r="C40" s="111"/>
      <c r="D40" s="111"/>
      <c r="E40" s="111"/>
      <c r="F40" s="111"/>
      <c r="G40" s="111"/>
      <c r="H40" s="112"/>
      <c r="I40" s="113">
        <v>11.0</v>
      </c>
      <c r="J40" s="112"/>
      <c r="K40" s="114" t="b">
        <v>0</v>
      </c>
      <c r="L40" s="114" t="b">
        <v>0</v>
      </c>
      <c r="M40" s="114" t="b">
        <v>0</v>
      </c>
      <c r="N40" s="114" t="b">
        <v>0</v>
      </c>
      <c r="O40" s="115" t="b">
        <v>0</v>
      </c>
      <c r="P40" s="115" t="b">
        <v>0</v>
      </c>
      <c r="Q40" s="115" t="b">
        <v>0</v>
      </c>
      <c r="R40" s="115" t="b">
        <v>0</v>
      </c>
      <c r="S40" s="114" t="b">
        <v>0</v>
      </c>
      <c r="T40" s="115" t="b">
        <v>0</v>
      </c>
      <c r="U40" s="114" t="b">
        <v>0</v>
      </c>
      <c r="V40" s="115" t="b">
        <v>0</v>
      </c>
      <c r="W40" s="115" t="b">
        <v>0</v>
      </c>
      <c r="X40" s="115" t="b">
        <v>0</v>
      </c>
      <c r="Y40" s="115" t="b">
        <v>0</v>
      </c>
      <c r="Z40" s="115" t="b">
        <v>0</v>
      </c>
      <c r="AA40" s="115" t="b">
        <v>0</v>
      </c>
      <c r="AB40" s="115" t="b">
        <v>0</v>
      </c>
      <c r="AC40" s="115" t="b">
        <v>0</v>
      </c>
      <c r="AD40" s="115" t="b">
        <v>0</v>
      </c>
      <c r="AE40" s="114" t="b">
        <v>0</v>
      </c>
      <c r="AF40" s="114" t="b">
        <v>0</v>
      </c>
      <c r="AG40" s="114" t="b">
        <v>0</v>
      </c>
      <c r="AH40" s="115" t="b">
        <v>0</v>
      </c>
      <c r="AI40" s="114" t="b">
        <v>0</v>
      </c>
      <c r="AJ40" s="115" t="b">
        <v>0</v>
      </c>
      <c r="AK40" s="115" t="b">
        <v>0</v>
      </c>
      <c r="AL40" s="115" t="b">
        <v>0</v>
      </c>
      <c r="AM40" s="115" t="b">
        <v>0</v>
      </c>
      <c r="AN40" s="115" t="b">
        <v>0</v>
      </c>
      <c r="AO40" s="123" t="b">
        <v>0</v>
      </c>
      <c r="AP40" s="2"/>
      <c r="AQ40" s="117">
        <f t="shared" si="10"/>
        <v>0</v>
      </c>
      <c r="AR40" s="118">
        <f t="shared" si="11"/>
        <v>11</v>
      </c>
      <c r="AS40" s="119">
        <f t="shared" si="12"/>
        <v>0</v>
      </c>
      <c r="AT40" s="120" t="str">
        <f>IFERROR(__xludf.DUMMYFUNCTION("IF(B40="""","""",SPARKLINE(AS40,{""charttype"", ""bar"";""max"",1;""color1"",""#fad5be""}))"),"")</f>
        <v/>
      </c>
      <c r="AU40" s="121"/>
      <c r="AV40" s="121"/>
      <c r="AW40" s="121"/>
      <c r="AX40" s="122"/>
      <c r="AY40" s="108">
        <f t="shared" si="13"/>
        <v>0</v>
      </c>
      <c r="AZ40" s="1"/>
      <c r="BA40" s="109" t="s">
        <v>39</v>
      </c>
      <c r="BB40" s="1"/>
      <c r="BC40" s="1"/>
      <c r="BD40" s="1"/>
      <c r="BE40" s="1"/>
      <c r="BF40" s="1"/>
      <c r="BG40" s="1"/>
      <c r="BH40" s="1"/>
      <c r="BI40" s="1"/>
      <c r="BJ40" s="1"/>
      <c r="BK40" s="30">
        <f t="shared" si="14"/>
        <v>0</v>
      </c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ht="15.75" customHeight="1">
      <c r="A41" s="3">
        <v>7.0</v>
      </c>
      <c r="B41" s="110" t="s">
        <v>40</v>
      </c>
      <c r="C41" s="111"/>
      <c r="D41" s="111"/>
      <c r="E41" s="111"/>
      <c r="F41" s="111"/>
      <c r="G41" s="111"/>
      <c r="H41" s="112"/>
      <c r="I41" s="113">
        <v>11.0</v>
      </c>
      <c r="J41" s="112"/>
      <c r="K41" s="114" t="b">
        <v>0</v>
      </c>
      <c r="L41" s="115" t="b">
        <v>0</v>
      </c>
      <c r="M41" s="114" t="b">
        <v>0</v>
      </c>
      <c r="N41" s="115" t="b">
        <v>0</v>
      </c>
      <c r="O41" s="115" t="b">
        <v>0</v>
      </c>
      <c r="P41" s="114" t="b">
        <v>0</v>
      </c>
      <c r="Q41" s="115" t="b">
        <v>0</v>
      </c>
      <c r="R41" s="115" t="b">
        <v>0</v>
      </c>
      <c r="S41" s="115" t="b">
        <v>0</v>
      </c>
      <c r="T41" s="115" t="b">
        <v>0</v>
      </c>
      <c r="U41" s="115" t="b">
        <v>0</v>
      </c>
      <c r="V41" s="114" t="b">
        <v>0</v>
      </c>
      <c r="W41" s="115" t="b">
        <v>0</v>
      </c>
      <c r="X41" s="115" t="b">
        <v>0</v>
      </c>
      <c r="Y41" s="115" t="b">
        <v>0</v>
      </c>
      <c r="Z41" s="115" t="b">
        <v>0</v>
      </c>
      <c r="AA41" s="115" t="b">
        <v>0</v>
      </c>
      <c r="AB41" s="115" t="b">
        <v>0</v>
      </c>
      <c r="AC41" s="115" t="b">
        <v>0</v>
      </c>
      <c r="AD41" s="114" t="b">
        <v>0</v>
      </c>
      <c r="AE41" s="115" t="b">
        <v>0</v>
      </c>
      <c r="AF41" s="114" t="b">
        <v>0</v>
      </c>
      <c r="AG41" s="114" t="b">
        <v>0</v>
      </c>
      <c r="AH41" s="114" t="b">
        <v>0</v>
      </c>
      <c r="AI41" s="115" t="b">
        <v>0</v>
      </c>
      <c r="AJ41" s="115" t="b">
        <v>0</v>
      </c>
      <c r="AK41" s="115" t="b">
        <v>0</v>
      </c>
      <c r="AL41" s="115" t="b">
        <v>0</v>
      </c>
      <c r="AM41" s="115" t="b">
        <v>0</v>
      </c>
      <c r="AN41" s="115" t="b">
        <v>0</v>
      </c>
      <c r="AO41" s="123" t="b">
        <v>0</v>
      </c>
      <c r="AP41" s="2"/>
      <c r="AQ41" s="117">
        <f t="shared" si="10"/>
        <v>0</v>
      </c>
      <c r="AR41" s="118">
        <f t="shared" si="11"/>
        <v>11</v>
      </c>
      <c r="AS41" s="119">
        <f t="shared" si="12"/>
        <v>0</v>
      </c>
      <c r="AT41" s="120" t="str">
        <f>IFERROR(__xludf.DUMMYFUNCTION("IF(B41="""","""",SPARKLINE(AS41,{""charttype"", ""bar"";""max"",1;""color1"",""#fad5be""}))"),"")</f>
        <v/>
      </c>
      <c r="AU41" s="121"/>
      <c r="AV41" s="121"/>
      <c r="AW41" s="121"/>
      <c r="AX41" s="122"/>
      <c r="AY41" s="108">
        <f t="shared" si="13"/>
        <v>0</v>
      </c>
      <c r="AZ41" s="1"/>
      <c r="BA41" s="109" t="s">
        <v>40</v>
      </c>
      <c r="BB41" s="1"/>
      <c r="BC41" s="1"/>
      <c r="BD41" s="1"/>
      <c r="BE41" s="1"/>
      <c r="BF41" s="1"/>
      <c r="BG41" s="1"/>
      <c r="BH41" s="1"/>
      <c r="BI41" s="1"/>
      <c r="BJ41" s="1"/>
      <c r="BK41" s="30">
        <f t="shared" si="14"/>
        <v>0</v>
      </c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ht="15.75" customHeight="1">
      <c r="A42" s="3">
        <v>8.0</v>
      </c>
      <c r="B42" s="110" t="s">
        <v>41</v>
      </c>
      <c r="C42" s="111"/>
      <c r="D42" s="111"/>
      <c r="E42" s="111"/>
      <c r="F42" s="111"/>
      <c r="G42" s="111"/>
      <c r="H42" s="112"/>
      <c r="I42" s="113">
        <v>11.0</v>
      </c>
      <c r="J42" s="112"/>
      <c r="K42" s="114" t="b">
        <v>0</v>
      </c>
      <c r="L42" s="115" t="b">
        <v>0</v>
      </c>
      <c r="M42" s="115" t="b">
        <v>0</v>
      </c>
      <c r="N42" s="115" t="b">
        <v>0</v>
      </c>
      <c r="O42" s="115" t="b">
        <v>0</v>
      </c>
      <c r="P42" s="115" t="b">
        <v>0</v>
      </c>
      <c r="Q42" s="115" t="b">
        <v>0</v>
      </c>
      <c r="R42" s="115" t="b">
        <v>0</v>
      </c>
      <c r="S42" s="115" t="b">
        <v>0</v>
      </c>
      <c r="T42" s="115" t="b">
        <v>0</v>
      </c>
      <c r="U42" s="115" t="b">
        <v>0</v>
      </c>
      <c r="V42" s="115" t="b">
        <v>0</v>
      </c>
      <c r="W42" s="115" t="b">
        <v>0</v>
      </c>
      <c r="X42" s="115" t="b">
        <v>0</v>
      </c>
      <c r="Y42" s="115" t="b">
        <v>0</v>
      </c>
      <c r="Z42" s="115" t="b">
        <v>0</v>
      </c>
      <c r="AA42" s="115" t="b">
        <v>0</v>
      </c>
      <c r="AB42" s="115" t="b">
        <v>0</v>
      </c>
      <c r="AC42" s="115" t="b">
        <v>0</v>
      </c>
      <c r="AD42" s="115" t="b">
        <v>0</v>
      </c>
      <c r="AE42" s="114" t="b">
        <v>0</v>
      </c>
      <c r="AF42" s="114" t="b">
        <v>0</v>
      </c>
      <c r="AG42" s="114" t="b">
        <v>0</v>
      </c>
      <c r="AH42" s="114" t="b">
        <v>0</v>
      </c>
      <c r="AI42" s="115" t="b">
        <v>0</v>
      </c>
      <c r="AJ42" s="115" t="b">
        <v>0</v>
      </c>
      <c r="AK42" s="115" t="b">
        <v>0</v>
      </c>
      <c r="AL42" s="115" t="b">
        <v>0</v>
      </c>
      <c r="AM42" s="115" t="b">
        <v>0</v>
      </c>
      <c r="AN42" s="115" t="b">
        <v>0</v>
      </c>
      <c r="AO42" s="123" t="b">
        <v>0</v>
      </c>
      <c r="AP42" s="2"/>
      <c r="AQ42" s="117">
        <f t="shared" si="10"/>
        <v>0</v>
      </c>
      <c r="AR42" s="118">
        <f t="shared" si="11"/>
        <v>11</v>
      </c>
      <c r="AS42" s="119">
        <f t="shared" si="12"/>
        <v>0</v>
      </c>
      <c r="AT42" s="120" t="str">
        <f>IFERROR(__xludf.DUMMYFUNCTION("IF(B42="""","""",SPARKLINE(AS42,{""charttype"", ""bar"";""max"",1;""color1"",""#fad5be""}))"),"")</f>
        <v/>
      </c>
      <c r="AU42" s="121"/>
      <c r="AV42" s="121"/>
      <c r="AW42" s="121"/>
      <c r="AX42" s="122"/>
      <c r="AY42" s="108">
        <f t="shared" si="13"/>
        <v>0</v>
      </c>
      <c r="AZ42" s="1"/>
      <c r="BA42" s="109" t="s">
        <v>41</v>
      </c>
      <c r="BB42" s="1"/>
      <c r="BC42" s="1"/>
      <c r="BD42" s="1"/>
      <c r="BE42" s="1"/>
      <c r="BF42" s="1"/>
      <c r="BG42" s="1"/>
      <c r="BH42" s="1"/>
      <c r="BI42" s="1"/>
      <c r="BJ42" s="1"/>
      <c r="BK42" s="30">
        <f t="shared" si="14"/>
        <v>0</v>
      </c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ht="15.75" customHeight="1">
      <c r="A43" s="3">
        <v>9.0</v>
      </c>
      <c r="B43" s="110" t="s">
        <v>42</v>
      </c>
      <c r="C43" s="111"/>
      <c r="D43" s="111"/>
      <c r="E43" s="111"/>
      <c r="F43" s="111"/>
      <c r="G43" s="111"/>
      <c r="H43" s="112"/>
      <c r="I43" s="113">
        <v>11.0</v>
      </c>
      <c r="J43" s="112"/>
      <c r="K43" s="114" t="b">
        <v>0</v>
      </c>
      <c r="L43" s="115" t="b">
        <v>0</v>
      </c>
      <c r="M43" s="115" t="b">
        <v>0</v>
      </c>
      <c r="N43" s="115" t="b">
        <v>0</v>
      </c>
      <c r="O43" s="115" t="b">
        <v>0</v>
      </c>
      <c r="P43" s="115" t="b">
        <v>0</v>
      </c>
      <c r="Q43" s="115" t="b">
        <v>0</v>
      </c>
      <c r="R43" s="115" t="b">
        <v>0</v>
      </c>
      <c r="S43" s="115" t="b">
        <v>0</v>
      </c>
      <c r="T43" s="115" t="b">
        <v>0</v>
      </c>
      <c r="U43" s="115" t="b">
        <v>0</v>
      </c>
      <c r="V43" s="115" t="b">
        <v>0</v>
      </c>
      <c r="W43" s="115" t="b">
        <v>0</v>
      </c>
      <c r="X43" s="115" t="b">
        <v>0</v>
      </c>
      <c r="Y43" s="115" t="b">
        <v>0</v>
      </c>
      <c r="Z43" s="115" t="b">
        <v>0</v>
      </c>
      <c r="AA43" s="115" t="b">
        <v>0</v>
      </c>
      <c r="AB43" s="115" t="b">
        <v>0</v>
      </c>
      <c r="AC43" s="115" t="b">
        <v>0</v>
      </c>
      <c r="AD43" s="115" t="b">
        <v>0</v>
      </c>
      <c r="AE43" s="114" t="b">
        <v>0</v>
      </c>
      <c r="AF43" s="114" t="b">
        <v>0</v>
      </c>
      <c r="AG43" s="114" t="b">
        <v>0</v>
      </c>
      <c r="AH43" s="114" t="b">
        <v>0</v>
      </c>
      <c r="AI43" s="115" t="b">
        <v>0</v>
      </c>
      <c r="AJ43" s="115" t="b">
        <v>0</v>
      </c>
      <c r="AK43" s="115" t="b">
        <v>0</v>
      </c>
      <c r="AL43" s="115" t="b">
        <v>0</v>
      </c>
      <c r="AM43" s="115" t="b">
        <v>0</v>
      </c>
      <c r="AN43" s="115" t="b">
        <v>0</v>
      </c>
      <c r="AO43" s="123" t="b">
        <v>0</v>
      </c>
      <c r="AP43" s="2"/>
      <c r="AQ43" s="117">
        <f t="shared" si="10"/>
        <v>0</v>
      </c>
      <c r="AR43" s="118">
        <f t="shared" si="11"/>
        <v>11</v>
      </c>
      <c r="AS43" s="119">
        <f t="shared" si="12"/>
        <v>0</v>
      </c>
      <c r="AT43" s="120" t="str">
        <f>IFERROR(__xludf.DUMMYFUNCTION("IF(B43="""","""",SPARKLINE(AS43,{""charttype"", ""bar"";""max"",1;""color1"",""#fad5be""}))"),"")</f>
        <v/>
      </c>
      <c r="AU43" s="121"/>
      <c r="AV43" s="121"/>
      <c r="AW43" s="121"/>
      <c r="AX43" s="122"/>
      <c r="AY43" s="108">
        <f t="shared" si="13"/>
        <v>0</v>
      </c>
      <c r="AZ43" s="1"/>
      <c r="BA43" s="109" t="s">
        <v>42</v>
      </c>
      <c r="BB43" s="1"/>
      <c r="BC43" s="1"/>
      <c r="BD43" s="1"/>
      <c r="BE43" s="1"/>
      <c r="BF43" s="1"/>
      <c r="BG43" s="1"/>
      <c r="BH43" s="1"/>
      <c r="BI43" s="1"/>
      <c r="BJ43" s="1"/>
      <c r="BK43" s="30">
        <f t="shared" si="14"/>
        <v>0</v>
      </c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ht="15.75" customHeight="1">
      <c r="A44" s="3">
        <v>10.0</v>
      </c>
      <c r="B44" s="110" t="s">
        <v>43</v>
      </c>
      <c r="C44" s="111"/>
      <c r="D44" s="111"/>
      <c r="E44" s="111"/>
      <c r="F44" s="111"/>
      <c r="G44" s="111"/>
      <c r="H44" s="112"/>
      <c r="I44" s="113">
        <v>11.0</v>
      </c>
      <c r="J44" s="112"/>
      <c r="K44" s="115" t="b">
        <v>0</v>
      </c>
      <c r="L44" s="115" t="b">
        <v>0</v>
      </c>
      <c r="M44" s="115" t="b">
        <v>0</v>
      </c>
      <c r="N44" s="115" t="b">
        <v>0</v>
      </c>
      <c r="O44" s="115" t="b">
        <v>0</v>
      </c>
      <c r="P44" s="115" t="b">
        <v>0</v>
      </c>
      <c r="Q44" s="115" t="b">
        <v>0</v>
      </c>
      <c r="R44" s="115" t="b">
        <v>0</v>
      </c>
      <c r="S44" s="115" t="b">
        <v>0</v>
      </c>
      <c r="T44" s="115" t="b">
        <v>0</v>
      </c>
      <c r="U44" s="115" t="b">
        <v>0</v>
      </c>
      <c r="V44" s="115" t="b">
        <v>0</v>
      </c>
      <c r="W44" s="115" t="b">
        <v>0</v>
      </c>
      <c r="X44" s="115" t="b">
        <v>0</v>
      </c>
      <c r="Y44" s="115" t="b">
        <v>0</v>
      </c>
      <c r="Z44" s="115" t="b">
        <v>0</v>
      </c>
      <c r="AA44" s="115" t="b">
        <v>0</v>
      </c>
      <c r="AB44" s="115" t="b">
        <v>0</v>
      </c>
      <c r="AC44" s="115" t="b">
        <v>0</v>
      </c>
      <c r="AD44" s="115" t="b">
        <v>0</v>
      </c>
      <c r="AE44" s="114" t="b">
        <v>0</v>
      </c>
      <c r="AF44" s="114" t="b">
        <v>0</v>
      </c>
      <c r="AG44" s="114" t="b">
        <v>0</v>
      </c>
      <c r="AH44" s="115" t="b">
        <v>0</v>
      </c>
      <c r="AI44" s="115" t="b">
        <v>0</v>
      </c>
      <c r="AJ44" s="115" t="b">
        <v>0</v>
      </c>
      <c r="AK44" s="115" t="b">
        <v>0</v>
      </c>
      <c r="AL44" s="115" t="b">
        <v>0</v>
      </c>
      <c r="AM44" s="115" t="b">
        <v>0</v>
      </c>
      <c r="AN44" s="115" t="b">
        <v>0</v>
      </c>
      <c r="AO44" s="123" t="b">
        <v>0</v>
      </c>
      <c r="AP44" s="2"/>
      <c r="AQ44" s="117">
        <f t="shared" si="10"/>
        <v>0</v>
      </c>
      <c r="AR44" s="118">
        <f t="shared" si="11"/>
        <v>11</v>
      </c>
      <c r="AS44" s="119">
        <f t="shared" si="12"/>
        <v>0</v>
      </c>
      <c r="AT44" s="120" t="str">
        <f>IFERROR(__xludf.DUMMYFUNCTION("IF(B44="""","""",SPARKLINE(AS44,{""charttype"", ""bar"";""max"",1;""color1"",""#fad5be""}))"),"")</f>
        <v/>
      </c>
      <c r="AU44" s="121"/>
      <c r="AV44" s="121"/>
      <c r="AW44" s="121"/>
      <c r="AX44" s="122"/>
      <c r="AY44" s="108">
        <f t="shared" si="13"/>
        <v>0</v>
      </c>
      <c r="AZ44" s="1"/>
      <c r="BA44" s="109" t="s">
        <v>43</v>
      </c>
      <c r="BB44" s="1"/>
      <c r="BC44" s="1"/>
      <c r="BD44" s="1"/>
      <c r="BE44" s="1"/>
      <c r="BF44" s="1"/>
      <c r="BG44" s="1"/>
      <c r="BH44" s="1"/>
      <c r="BI44" s="1"/>
      <c r="BJ44" s="1"/>
      <c r="BK44" s="30">
        <f t="shared" si="14"/>
        <v>0</v>
      </c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ht="15.75" customHeight="1">
      <c r="A45" s="3">
        <v>11.0</v>
      </c>
      <c r="B45" s="110"/>
      <c r="C45" s="111"/>
      <c r="D45" s="111"/>
      <c r="E45" s="111"/>
      <c r="F45" s="111"/>
      <c r="G45" s="111"/>
      <c r="H45" s="112"/>
      <c r="I45" s="113"/>
      <c r="J45" s="112"/>
      <c r="K45" s="115" t="b">
        <v>0</v>
      </c>
      <c r="L45" s="115" t="b">
        <v>0</v>
      </c>
      <c r="M45" s="115" t="b">
        <v>0</v>
      </c>
      <c r="N45" s="115" t="b">
        <v>0</v>
      </c>
      <c r="O45" s="115" t="b">
        <v>0</v>
      </c>
      <c r="P45" s="114" t="b">
        <v>0</v>
      </c>
      <c r="Q45" s="115" t="b">
        <v>0</v>
      </c>
      <c r="R45" s="115" t="b">
        <v>0</v>
      </c>
      <c r="S45" s="115" t="b">
        <v>0</v>
      </c>
      <c r="T45" s="115" t="b">
        <v>0</v>
      </c>
      <c r="U45" s="115" t="b">
        <v>0</v>
      </c>
      <c r="V45" s="115" t="b">
        <v>0</v>
      </c>
      <c r="W45" s="115" t="b">
        <v>0</v>
      </c>
      <c r="X45" s="115" t="b">
        <v>0</v>
      </c>
      <c r="Y45" s="115" t="b">
        <v>0</v>
      </c>
      <c r="Z45" s="115" t="b">
        <v>0</v>
      </c>
      <c r="AA45" s="115" t="b">
        <v>0</v>
      </c>
      <c r="AB45" s="115" t="b">
        <v>0</v>
      </c>
      <c r="AC45" s="115" t="b">
        <v>0</v>
      </c>
      <c r="AD45" s="115" t="b">
        <v>0</v>
      </c>
      <c r="AE45" s="115" t="b">
        <v>0</v>
      </c>
      <c r="AF45" s="115" t="b">
        <v>0</v>
      </c>
      <c r="AG45" s="115" t="b">
        <v>0</v>
      </c>
      <c r="AH45" s="115" t="b">
        <v>0</v>
      </c>
      <c r="AI45" s="115" t="b">
        <v>0</v>
      </c>
      <c r="AJ45" s="115" t="b">
        <v>0</v>
      </c>
      <c r="AK45" s="115" t="b">
        <v>0</v>
      </c>
      <c r="AL45" s="115" t="b">
        <v>0</v>
      </c>
      <c r="AM45" s="115" t="b">
        <v>0</v>
      </c>
      <c r="AN45" s="115" t="b">
        <v>0</v>
      </c>
      <c r="AO45" s="123" t="b">
        <v>0</v>
      </c>
      <c r="AP45" s="2"/>
      <c r="AQ45" s="117" t="str">
        <f t="shared" si="10"/>
        <v/>
      </c>
      <c r="AR45" s="118" t="str">
        <f t="shared" si="11"/>
        <v/>
      </c>
      <c r="AS45" s="119" t="str">
        <f t="shared" si="12"/>
        <v/>
      </c>
      <c r="AT45" s="120" t="str">
        <f>IFERROR(__xludf.DUMMYFUNCTION("IF(B45="""","""",SPARKLINE(AS45,{""charttype"", ""bar"";""max"",1;""color1"",""#fad5be""}))"),"")</f>
        <v/>
      </c>
      <c r="AU45" s="121"/>
      <c r="AV45" s="121"/>
      <c r="AW45" s="121"/>
      <c r="AX45" s="122"/>
      <c r="AY45" s="3">
        <f t="shared" si="13"/>
        <v>0</v>
      </c>
      <c r="AZ45" s="1"/>
      <c r="BA45" s="109"/>
      <c r="BB45" s="1"/>
      <c r="BC45" s="1"/>
      <c r="BD45" s="1"/>
      <c r="BE45" s="1"/>
      <c r="BF45" s="1"/>
      <c r="BG45" s="1"/>
      <c r="BH45" s="1"/>
      <c r="BI45" s="1"/>
      <c r="BJ45" s="1"/>
      <c r="BK45" s="30" t="str">
        <f t="shared" si="14"/>
        <v/>
      </c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ht="15.75" customHeight="1">
      <c r="A46" s="3">
        <v>12.0</v>
      </c>
      <c r="B46" s="110"/>
      <c r="C46" s="111"/>
      <c r="D46" s="111"/>
      <c r="E46" s="111"/>
      <c r="F46" s="111"/>
      <c r="G46" s="111"/>
      <c r="H46" s="112"/>
      <c r="I46" s="113"/>
      <c r="J46" s="112"/>
      <c r="K46" s="115" t="b">
        <v>0</v>
      </c>
      <c r="L46" s="115" t="b">
        <v>0</v>
      </c>
      <c r="M46" s="115" t="b">
        <v>0</v>
      </c>
      <c r="N46" s="115" t="b">
        <v>0</v>
      </c>
      <c r="O46" s="115" t="b">
        <v>0</v>
      </c>
      <c r="P46" s="115" t="b">
        <v>0</v>
      </c>
      <c r="Q46" s="115" t="b">
        <v>0</v>
      </c>
      <c r="R46" s="114" t="b">
        <v>0</v>
      </c>
      <c r="S46" s="115" t="b">
        <v>0</v>
      </c>
      <c r="T46" s="115" t="b">
        <v>0</v>
      </c>
      <c r="U46" s="115" t="b">
        <v>0</v>
      </c>
      <c r="V46" s="115" t="b">
        <v>0</v>
      </c>
      <c r="W46" s="115" t="b">
        <v>0</v>
      </c>
      <c r="X46" s="114" t="b">
        <v>0</v>
      </c>
      <c r="Y46" s="115" t="b">
        <v>0</v>
      </c>
      <c r="Z46" s="114" t="b">
        <v>0</v>
      </c>
      <c r="AA46" s="115" t="b">
        <v>0</v>
      </c>
      <c r="AB46" s="115" t="b">
        <v>0</v>
      </c>
      <c r="AC46" s="115" t="b">
        <v>0</v>
      </c>
      <c r="AD46" s="115" t="b">
        <v>0</v>
      </c>
      <c r="AE46" s="115" t="b">
        <v>0</v>
      </c>
      <c r="AF46" s="115" t="b">
        <v>0</v>
      </c>
      <c r="AG46" s="115" t="b">
        <v>0</v>
      </c>
      <c r="AH46" s="115" t="b">
        <v>0</v>
      </c>
      <c r="AI46" s="115" t="b">
        <v>0</v>
      </c>
      <c r="AJ46" s="115" t="b">
        <v>0</v>
      </c>
      <c r="AK46" s="115" t="b">
        <v>0</v>
      </c>
      <c r="AL46" s="115" t="b">
        <v>0</v>
      </c>
      <c r="AM46" s="115" t="b">
        <v>0</v>
      </c>
      <c r="AN46" s="115" t="b">
        <v>0</v>
      </c>
      <c r="AO46" s="123" t="b">
        <v>0</v>
      </c>
      <c r="AP46" s="2"/>
      <c r="AQ46" s="117" t="str">
        <f t="shared" si="10"/>
        <v/>
      </c>
      <c r="AR46" s="118" t="str">
        <f t="shared" si="11"/>
        <v/>
      </c>
      <c r="AS46" s="119" t="str">
        <f t="shared" si="12"/>
        <v/>
      </c>
      <c r="AT46" s="120" t="str">
        <f>IFERROR(__xludf.DUMMYFUNCTION("IF(B46="""","""",SPARKLINE(AS46,{""charttype"", ""bar"";""max"",1;""color1"",""#fad5be""}))"),"")</f>
        <v/>
      </c>
      <c r="AU46" s="121"/>
      <c r="AV46" s="121"/>
      <c r="AW46" s="121"/>
      <c r="AX46" s="122"/>
      <c r="AY46" s="3">
        <f t="shared" si="13"/>
        <v>0</v>
      </c>
      <c r="AZ46" s="1"/>
      <c r="BA46" s="109"/>
      <c r="BB46" s="1"/>
      <c r="BC46" s="1"/>
      <c r="BD46" s="1"/>
      <c r="BE46" s="1"/>
      <c r="BF46" s="1"/>
      <c r="BG46" s="1"/>
      <c r="BH46" s="1"/>
      <c r="BI46" s="1"/>
      <c r="BJ46" s="1"/>
      <c r="BK46" s="30" t="str">
        <f t="shared" si="14"/>
        <v/>
      </c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ht="15.75" customHeight="1">
      <c r="A47" s="3">
        <v>13.0</v>
      </c>
      <c r="B47" s="110"/>
      <c r="C47" s="111"/>
      <c r="D47" s="111"/>
      <c r="E47" s="111"/>
      <c r="F47" s="111"/>
      <c r="G47" s="111"/>
      <c r="H47" s="112"/>
      <c r="I47" s="113"/>
      <c r="J47" s="112"/>
      <c r="K47" s="115" t="b">
        <v>0</v>
      </c>
      <c r="L47" s="115" t="b">
        <v>0</v>
      </c>
      <c r="M47" s="115" t="b">
        <v>0</v>
      </c>
      <c r="N47" s="115" t="b">
        <v>0</v>
      </c>
      <c r="O47" s="115" t="b">
        <v>0</v>
      </c>
      <c r="P47" s="115" t="b">
        <v>0</v>
      </c>
      <c r="Q47" s="115" t="b">
        <v>0</v>
      </c>
      <c r="R47" s="115" t="b">
        <v>0</v>
      </c>
      <c r="S47" s="115" t="b">
        <v>0</v>
      </c>
      <c r="T47" s="115" t="b">
        <v>0</v>
      </c>
      <c r="U47" s="115" t="b">
        <v>0</v>
      </c>
      <c r="V47" s="115" t="b">
        <v>0</v>
      </c>
      <c r="W47" s="115" t="b">
        <v>0</v>
      </c>
      <c r="X47" s="115" t="b">
        <v>0</v>
      </c>
      <c r="Y47" s="115" t="b">
        <v>0</v>
      </c>
      <c r="Z47" s="115" t="b">
        <v>0</v>
      </c>
      <c r="AA47" s="115" t="b">
        <v>0</v>
      </c>
      <c r="AB47" s="115" t="b">
        <v>0</v>
      </c>
      <c r="AC47" s="115" t="b">
        <v>0</v>
      </c>
      <c r="AD47" s="115" t="b">
        <v>0</v>
      </c>
      <c r="AE47" s="115" t="b">
        <v>0</v>
      </c>
      <c r="AF47" s="115" t="b">
        <v>0</v>
      </c>
      <c r="AG47" s="115" t="b">
        <v>0</v>
      </c>
      <c r="AH47" s="115" t="b">
        <v>0</v>
      </c>
      <c r="AI47" s="115" t="b">
        <v>0</v>
      </c>
      <c r="AJ47" s="115" t="b">
        <v>0</v>
      </c>
      <c r="AK47" s="115" t="b">
        <v>0</v>
      </c>
      <c r="AL47" s="115" t="b">
        <v>0</v>
      </c>
      <c r="AM47" s="115" t="b">
        <v>0</v>
      </c>
      <c r="AN47" s="115" t="b">
        <v>0</v>
      </c>
      <c r="AO47" s="123" t="b">
        <v>0</v>
      </c>
      <c r="AP47" s="2"/>
      <c r="AQ47" s="117" t="str">
        <f t="shared" si="10"/>
        <v/>
      </c>
      <c r="AR47" s="118" t="str">
        <f t="shared" si="11"/>
        <v/>
      </c>
      <c r="AS47" s="119" t="str">
        <f t="shared" si="12"/>
        <v/>
      </c>
      <c r="AT47" s="120" t="str">
        <f>IFERROR(__xludf.DUMMYFUNCTION("IF(B47="""","""",SPARKLINE(AS47,{""charttype"", ""bar"";""max"",1;""color1"",""#fad5be""}))"),"")</f>
        <v/>
      </c>
      <c r="AU47" s="121"/>
      <c r="AV47" s="121"/>
      <c r="AW47" s="121"/>
      <c r="AX47" s="122"/>
      <c r="AY47" s="3">
        <f t="shared" si="13"/>
        <v>0</v>
      </c>
      <c r="AZ47" s="1"/>
      <c r="BA47" s="109"/>
      <c r="BB47" s="1"/>
      <c r="BC47" s="1"/>
      <c r="BD47" s="1"/>
      <c r="BE47" s="1"/>
      <c r="BF47" s="1"/>
      <c r="BG47" s="1"/>
      <c r="BH47" s="1"/>
      <c r="BI47" s="1"/>
      <c r="BJ47" s="1"/>
      <c r="BK47" s="30" t="str">
        <f t="shared" si="14"/>
        <v/>
      </c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ht="15.75" customHeight="1">
      <c r="A48" s="3">
        <v>14.0</v>
      </c>
      <c r="B48" s="124"/>
      <c r="C48" s="111"/>
      <c r="D48" s="111"/>
      <c r="E48" s="111"/>
      <c r="F48" s="111"/>
      <c r="G48" s="111"/>
      <c r="H48" s="112"/>
      <c r="I48" s="125"/>
      <c r="J48" s="112"/>
      <c r="K48" s="115" t="b">
        <v>0</v>
      </c>
      <c r="L48" s="115" t="b">
        <v>0</v>
      </c>
      <c r="M48" s="115" t="b">
        <v>0</v>
      </c>
      <c r="N48" s="115" t="b">
        <v>0</v>
      </c>
      <c r="O48" s="115" t="b">
        <v>0</v>
      </c>
      <c r="P48" s="115" t="b">
        <v>0</v>
      </c>
      <c r="Q48" s="115" t="b">
        <v>0</v>
      </c>
      <c r="R48" s="115" t="b">
        <v>0</v>
      </c>
      <c r="S48" s="115" t="b">
        <v>0</v>
      </c>
      <c r="T48" s="115" t="b">
        <v>0</v>
      </c>
      <c r="U48" s="115" t="b">
        <v>0</v>
      </c>
      <c r="V48" s="115" t="b">
        <v>0</v>
      </c>
      <c r="W48" s="115" t="b">
        <v>0</v>
      </c>
      <c r="X48" s="115" t="b">
        <v>0</v>
      </c>
      <c r="Y48" s="115" t="b">
        <v>0</v>
      </c>
      <c r="Z48" s="115" t="b">
        <v>0</v>
      </c>
      <c r="AA48" s="115" t="b">
        <v>0</v>
      </c>
      <c r="AB48" s="115" t="b">
        <v>0</v>
      </c>
      <c r="AC48" s="115" t="b">
        <v>0</v>
      </c>
      <c r="AD48" s="115" t="b">
        <v>0</v>
      </c>
      <c r="AE48" s="115" t="b">
        <v>0</v>
      </c>
      <c r="AF48" s="115" t="b">
        <v>0</v>
      </c>
      <c r="AG48" s="115" t="b">
        <v>0</v>
      </c>
      <c r="AH48" s="115" t="b">
        <v>0</v>
      </c>
      <c r="AI48" s="115" t="b">
        <v>0</v>
      </c>
      <c r="AJ48" s="115" t="b">
        <v>0</v>
      </c>
      <c r="AK48" s="115" t="b">
        <v>0</v>
      </c>
      <c r="AL48" s="115" t="b">
        <v>0</v>
      </c>
      <c r="AM48" s="115" t="b">
        <v>0</v>
      </c>
      <c r="AN48" s="115" t="b">
        <v>0</v>
      </c>
      <c r="AO48" s="123" t="b">
        <v>0</v>
      </c>
      <c r="AP48" s="2"/>
      <c r="AQ48" s="117" t="str">
        <f t="shared" si="10"/>
        <v/>
      </c>
      <c r="AR48" s="118" t="str">
        <f t="shared" si="11"/>
        <v/>
      </c>
      <c r="AS48" s="119" t="str">
        <f t="shared" si="12"/>
        <v/>
      </c>
      <c r="AT48" s="120" t="str">
        <f>IFERROR(__xludf.DUMMYFUNCTION("IF(B48="""","""",SPARKLINE(AS48,{""charttype"", ""bar"";""max"",1;""color1"",""#fad5be""}))"),"")</f>
        <v/>
      </c>
      <c r="AU48" s="121"/>
      <c r="AV48" s="121"/>
      <c r="AW48" s="121"/>
      <c r="AX48" s="122"/>
      <c r="AY48" s="3">
        <f t="shared" si="13"/>
        <v>0</v>
      </c>
      <c r="AZ48" s="1"/>
      <c r="BA48" s="109"/>
      <c r="BB48" s="1"/>
      <c r="BC48" s="1"/>
      <c r="BD48" s="1"/>
      <c r="BE48" s="1"/>
      <c r="BF48" s="1"/>
      <c r="BG48" s="1"/>
      <c r="BH48" s="1"/>
      <c r="BI48" s="1"/>
      <c r="BJ48" s="1"/>
      <c r="BK48" s="30" t="str">
        <f t="shared" si="14"/>
        <v/>
      </c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ht="15.75" customHeight="1">
      <c r="A49" s="3">
        <v>15.0</v>
      </c>
      <c r="B49" s="124"/>
      <c r="C49" s="111"/>
      <c r="D49" s="111"/>
      <c r="E49" s="111"/>
      <c r="F49" s="111"/>
      <c r="G49" s="111"/>
      <c r="H49" s="112"/>
      <c r="I49" s="125"/>
      <c r="J49" s="112"/>
      <c r="K49" s="115" t="b">
        <v>0</v>
      </c>
      <c r="L49" s="115" t="b">
        <v>0</v>
      </c>
      <c r="M49" s="115" t="b">
        <v>0</v>
      </c>
      <c r="N49" s="115" t="b">
        <v>0</v>
      </c>
      <c r="O49" s="115" t="b">
        <v>0</v>
      </c>
      <c r="P49" s="115" t="b">
        <v>0</v>
      </c>
      <c r="Q49" s="114" t="b">
        <v>0</v>
      </c>
      <c r="R49" s="114" t="b">
        <v>0</v>
      </c>
      <c r="S49" s="115" t="b">
        <v>0</v>
      </c>
      <c r="T49" s="115" t="b">
        <v>0</v>
      </c>
      <c r="U49" s="115" t="b">
        <v>0</v>
      </c>
      <c r="V49" s="115" t="b">
        <v>0</v>
      </c>
      <c r="W49" s="115" t="b">
        <v>0</v>
      </c>
      <c r="X49" s="115" t="b">
        <v>0</v>
      </c>
      <c r="Y49" s="115" t="b">
        <v>0</v>
      </c>
      <c r="Z49" s="115" t="b">
        <v>0</v>
      </c>
      <c r="AA49" s="115" t="b">
        <v>0</v>
      </c>
      <c r="AB49" s="115" t="b">
        <v>0</v>
      </c>
      <c r="AC49" s="115" t="b">
        <v>0</v>
      </c>
      <c r="AD49" s="115" t="b">
        <v>0</v>
      </c>
      <c r="AE49" s="115" t="b">
        <v>0</v>
      </c>
      <c r="AF49" s="115" t="b">
        <v>0</v>
      </c>
      <c r="AG49" s="115" t="b">
        <v>0</v>
      </c>
      <c r="AH49" s="115" t="b">
        <v>0</v>
      </c>
      <c r="AI49" s="115" t="b">
        <v>0</v>
      </c>
      <c r="AJ49" s="115" t="b">
        <v>0</v>
      </c>
      <c r="AK49" s="115" t="b">
        <v>0</v>
      </c>
      <c r="AL49" s="115" t="b">
        <v>0</v>
      </c>
      <c r="AM49" s="115" t="b">
        <v>0</v>
      </c>
      <c r="AN49" s="115" t="b">
        <v>0</v>
      </c>
      <c r="AO49" s="123" t="b">
        <v>0</v>
      </c>
      <c r="AP49" s="2"/>
      <c r="AQ49" s="117" t="str">
        <f t="shared" si="10"/>
        <v/>
      </c>
      <c r="AR49" s="118" t="str">
        <f t="shared" si="11"/>
        <v/>
      </c>
      <c r="AS49" s="119" t="str">
        <f t="shared" si="12"/>
        <v/>
      </c>
      <c r="AT49" s="120" t="str">
        <f>IFERROR(__xludf.DUMMYFUNCTION("IF(B49="""","""",SPARKLINE(AS49,{""charttype"", ""bar"";""max"",1;""color1"",""#fad5be""}))"),"")</f>
        <v/>
      </c>
      <c r="AU49" s="121"/>
      <c r="AV49" s="121"/>
      <c r="AW49" s="121"/>
      <c r="AX49" s="122"/>
      <c r="AY49" s="3">
        <f t="shared" si="13"/>
        <v>0</v>
      </c>
      <c r="AZ49" s="1"/>
      <c r="BA49" s="109"/>
      <c r="BB49" s="1"/>
      <c r="BC49" s="1"/>
      <c r="BD49" s="1"/>
      <c r="BE49" s="1"/>
      <c r="BF49" s="1"/>
      <c r="BG49" s="1"/>
      <c r="BH49" s="1"/>
      <c r="BI49" s="1"/>
      <c r="BJ49" s="1"/>
      <c r="BK49" s="30" t="str">
        <f t="shared" si="14"/>
        <v/>
      </c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ht="15.75" customHeight="1">
      <c r="A50" s="3">
        <v>16.0</v>
      </c>
      <c r="B50" s="124"/>
      <c r="C50" s="111"/>
      <c r="D50" s="111"/>
      <c r="E50" s="111"/>
      <c r="F50" s="111"/>
      <c r="G50" s="111"/>
      <c r="H50" s="112"/>
      <c r="I50" s="125"/>
      <c r="J50" s="112"/>
      <c r="K50" s="115" t="b">
        <v>0</v>
      </c>
      <c r="L50" s="115" t="b">
        <v>0</v>
      </c>
      <c r="M50" s="115" t="b">
        <v>0</v>
      </c>
      <c r="N50" s="115" t="b">
        <v>0</v>
      </c>
      <c r="O50" s="115" t="b">
        <v>0</v>
      </c>
      <c r="P50" s="115" t="b">
        <v>0</v>
      </c>
      <c r="Q50" s="115" t="b">
        <v>0</v>
      </c>
      <c r="R50" s="115" t="b">
        <v>0</v>
      </c>
      <c r="S50" s="115" t="b">
        <v>0</v>
      </c>
      <c r="T50" s="115" t="b">
        <v>0</v>
      </c>
      <c r="U50" s="115" t="b">
        <v>0</v>
      </c>
      <c r="V50" s="115" t="b">
        <v>0</v>
      </c>
      <c r="W50" s="115" t="b">
        <v>0</v>
      </c>
      <c r="X50" s="115" t="b">
        <v>0</v>
      </c>
      <c r="Y50" s="115" t="b">
        <v>0</v>
      </c>
      <c r="Z50" s="115" t="b">
        <v>0</v>
      </c>
      <c r="AA50" s="115" t="b">
        <v>0</v>
      </c>
      <c r="AB50" s="115" t="b">
        <v>0</v>
      </c>
      <c r="AC50" s="115" t="b">
        <v>0</v>
      </c>
      <c r="AD50" s="115" t="b">
        <v>0</v>
      </c>
      <c r="AE50" s="115" t="b">
        <v>0</v>
      </c>
      <c r="AF50" s="115" t="b">
        <v>0</v>
      </c>
      <c r="AG50" s="115" t="b">
        <v>0</v>
      </c>
      <c r="AH50" s="115" t="b">
        <v>0</v>
      </c>
      <c r="AI50" s="115" t="b">
        <v>0</v>
      </c>
      <c r="AJ50" s="115" t="b">
        <v>0</v>
      </c>
      <c r="AK50" s="115" t="b">
        <v>0</v>
      </c>
      <c r="AL50" s="115" t="b">
        <v>0</v>
      </c>
      <c r="AM50" s="115" t="b">
        <v>0</v>
      </c>
      <c r="AN50" s="115" t="b">
        <v>0</v>
      </c>
      <c r="AO50" s="123" t="b">
        <v>0</v>
      </c>
      <c r="AP50" s="2"/>
      <c r="AQ50" s="117" t="str">
        <f t="shared" si="10"/>
        <v/>
      </c>
      <c r="AR50" s="118" t="str">
        <f t="shared" si="11"/>
        <v/>
      </c>
      <c r="AS50" s="119" t="str">
        <f t="shared" si="12"/>
        <v/>
      </c>
      <c r="AT50" s="120" t="str">
        <f>IFERROR(__xludf.DUMMYFUNCTION("IF(B50="""","""",SPARKLINE(AS50,{""charttype"", ""bar"";""max"",1;""color1"",""#fad5be""}))"),"")</f>
        <v/>
      </c>
      <c r="AU50" s="121"/>
      <c r="AV50" s="121"/>
      <c r="AW50" s="121"/>
      <c r="AX50" s="122"/>
      <c r="AY50" s="3">
        <f t="shared" si="13"/>
        <v>0</v>
      </c>
      <c r="AZ50" s="1"/>
      <c r="BA50" s="109"/>
      <c r="BB50" s="1"/>
      <c r="BC50" s="1"/>
      <c r="BD50" s="1"/>
      <c r="BE50" s="1"/>
      <c r="BF50" s="1"/>
      <c r="BG50" s="1"/>
      <c r="BH50" s="1"/>
      <c r="BI50" s="1"/>
      <c r="BJ50" s="1"/>
      <c r="BK50" s="30" t="str">
        <f t="shared" si="14"/>
        <v/>
      </c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ht="15.75" customHeight="1">
      <c r="A51" s="3">
        <v>17.0</v>
      </c>
      <c r="B51" s="124"/>
      <c r="C51" s="111"/>
      <c r="D51" s="111"/>
      <c r="E51" s="111"/>
      <c r="F51" s="111"/>
      <c r="G51" s="111"/>
      <c r="H51" s="112"/>
      <c r="I51" s="125"/>
      <c r="J51" s="112"/>
      <c r="K51" s="115" t="b">
        <v>0</v>
      </c>
      <c r="L51" s="115" t="b">
        <v>0</v>
      </c>
      <c r="M51" s="115" t="b">
        <v>0</v>
      </c>
      <c r="N51" s="115" t="b">
        <v>0</v>
      </c>
      <c r="O51" s="115" t="b">
        <v>0</v>
      </c>
      <c r="P51" s="115" t="b">
        <v>0</v>
      </c>
      <c r="Q51" s="115" t="b">
        <v>0</v>
      </c>
      <c r="R51" s="115" t="b">
        <v>0</v>
      </c>
      <c r="S51" s="115" t="b">
        <v>0</v>
      </c>
      <c r="T51" s="115" t="b">
        <v>0</v>
      </c>
      <c r="U51" s="115" t="b">
        <v>0</v>
      </c>
      <c r="V51" s="115" t="b">
        <v>0</v>
      </c>
      <c r="W51" s="115" t="b">
        <v>0</v>
      </c>
      <c r="X51" s="115" t="b">
        <v>0</v>
      </c>
      <c r="Y51" s="115" t="b">
        <v>0</v>
      </c>
      <c r="Z51" s="115" t="b">
        <v>0</v>
      </c>
      <c r="AA51" s="115" t="b">
        <v>0</v>
      </c>
      <c r="AB51" s="115" t="b">
        <v>0</v>
      </c>
      <c r="AC51" s="115" t="b">
        <v>0</v>
      </c>
      <c r="AD51" s="115" t="b">
        <v>0</v>
      </c>
      <c r="AE51" s="115" t="b">
        <v>0</v>
      </c>
      <c r="AF51" s="115" t="b">
        <v>0</v>
      </c>
      <c r="AG51" s="115" t="b">
        <v>0</v>
      </c>
      <c r="AH51" s="115" t="b">
        <v>0</v>
      </c>
      <c r="AI51" s="115" t="b">
        <v>0</v>
      </c>
      <c r="AJ51" s="115" t="b">
        <v>0</v>
      </c>
      <c r="AK51" s="115" t="b">
        <v>0</v>
      </c>
      <c r="AL51" s="115" t="b">
        <v>0</v>
      </c>
      <c r="AM51" s="115" t="b">
        <v>0</v>
      </c>
      <c r="AN51" s="115" t="b">
        <v>0</v>
      </c>
      <c r="AO51" s="123" t="b">
        <v>0</v>
      </c>
      <c r="AP51" s="2"/>
      <c r="AQ51" s="117" t="str">
        <f t="shared" si="10"/>
        <v/>
      </c>
      <c r="AR51" s="118" t="str">
        <f t="shared" si="11"/>
        <v/>
      </c>
      <c r="AS51" s="119" t="str">
        <f t="shared" si="12"/>
        <v/>
      </c>
      <c r="AT51" s="120" t="str">
        <f>IFERROR(__xludf.DUMMYFUNCTION("IF(B51="""","""",SPARKLINE(AS51,{""charttype"", ""bar"";""max"",1;""color1"",""#fad5be""}))"),"")</f>
        <v/>
      </c>
      <c r="AU51" s="121"/>
      <c r="AV51" s="121"/>
      <c r="AW51" s="121"/>
      <c r="AX51" s="122"/>
      <c r="AY51" s="3">
        <f t="shared" si="13"/>
        <v>0</v>
      </c>
      <c r="AZ51" s="1"/>
      <c r="BA51" s="109"/>
      <c r="BB51" s="1"/>
      <c r="BC51" s="1"/>
      <c r="BD51" s="1"/>
      <c r="BE51" s="1"/>
      <c r="BF51" s="1"/>
      <c r="BG51" s="1"/>
      <c r="BH51" s="1"/>
      <c r="BI51" s="1"/>
      <c r="BJ51" s="1"/>
      <c r="BK51" s="30" t="str">
        <f t="shared" si="14"/>
        <v/>
      </c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ht="15.75" customHeight="1">
      <c r="A52" s="3">
        <v>18.0</v>
      </c>
      <c r="B52" s="124"/>
      <c r="C52" s="111"/>
      <c r="D52" s="111"/>
      <c r="E52" s="111"/>
      <c r="F52" s="111"/>
      <c r="G52" s="111"/>
      <c r="H52" s="112"/>
      <c r="I52" s="125"/>
      <c r="J52" s="112"/>
      <c r="K52" s="115" t="b">
        <v>0</v>
      </c>
      <c r="L52" s="115" t="b">
        <v>0</v>
      </c>
      <c r="M52" s="115" t="b">
        <v>0</v>
      </c>
      <c r="N52" s="115" t="b">
        <v>0</v>
      </c>
      <c r="O52" s="115" t="b">
        <v>0</v>
      </c>
      <c r="P52" s="115" t="b">
        <v>0</v>
      </c>
      <c r="Q52" s="115" t="b">
        <v>0</v>
      </c>
      <c r="R52" s="115" t="b">
        <v>0</v>
      </c>
      <c r="S52" s="115" t="b">
        <v>0</v>
      </c>
      <c r="T52" s="115" t="b">
        <v>0</v>
      </c>
      <c r="U52" s="115" t="b">
        <v>0</v>
      </c>
      <c r="V52" s="115" t="b">
        <v>0</v>
      </c>
      <c r="W52" s="115" t="b">
        <v>0</v>
      </c>
      <c r="X52" s="115" t="b">
        <v>0</v>
      </c>
      <c r="Y52" s="115" t="b">
        <v>0</v>
      </c>
      <c r="Z52" s="115" t="b">
        <v>0</v>
      </c>
      <c r="AA52" s="115" t="b">
        <v>0</v>
      </c>
      <c r="AB52" s="115" t="b">
        <v>0</v>
      </c>
      <c r="AC52" s="115" t="b">
        <v>0</v>
      </c>
      <c r="AD52" s="115" t="b">
        <v>0</v>
      </c>
      <c r="AE52" s="115" t="b">
        <v>0</v>
      </c>
      <c r="AF52" s="115" t="b">
        <v>0</v>
      </c>
      <c r="AG52" s="115" t="b">
        <v>0</v>
      </c>
      <c r="AH52" s="115" t="b">
        <v>0</v>
      </c>
      <c r="AI52" s="115" t="b">
        <v>0</v>
      </c>
      <c r="AJ52" s="115" t="b">
        <v>0</v>
      </c>
      <c r="AK52" s="115" t="b">
        <v>0</v>
      </c>
      <c r="AL52" s="115" t="b">
        <v>0</v>
      </c>
      <c r="AM52" s="115" t="b">
        <v>0</v>
      </c>
      <c r="AN52" s="115" t="b">
        <v>0</v>
      </c>
      <c r="AO52" s="123" t="b">
        <v>0</v>
      </c>
      <c r="AP52" s="2"/>
      <c r="AQ52" s="117" t="str">
        <f t="shared" si="10"/>
        <v/>
      </c>
      <c r="AR52" s="118" t="str">
        <f t="shared" si="11"/>
        <v/>
      </c>
      <c r="AS52" s="119" t="str">
        <f t="shared" si="12"/>
        <v/>
      </c>
      <c r="AT52" s="120" t="str">
        <f>IFERROR(__xludf.DUMMYFUNCTION("IF(B52="""","""",SPARKLINE(AS52,{""charttype"", ""bar"";""max"",1;""color1"",""#fad5be""}))"),"")</f>
        <v/>
      </c>
      <c r="AU52" s="121"/>
      <c r="AV52" s="121"/>
      <c r="AW52" s="121"/>
      <c r="AX52" s="122"/>
      <c r="AY52" s="3">
        <f t="shared" si="13"/>
        <v>0</v>
      </c>
      <c r="AZ52" s="1"/>
      <c r="BA52" s="109"/>
      <c r="BB52" s="1"/>
      <c r="BC52" s="1"/>
      <c r="BD52" s="1"/>
      <c r="BE52" s="1"/>
      <c r="BF52" s="1"/>
      <c r="BG52" s="1"/>
      <c r="BH52" s="1"/>
      <c r="BI52" s="1"/>
      <c r="BJ52" s="1"/>
      <c r="BK52" s="30" t="str">
        <f t="shared" si="14"/>
        <v/>
      </c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ht="15.75" customHeight="1">
      <c r="A53" s="3">
        <v>19.0</v>
      </c>
      <c r="B53" s="124"/>
      <c r="C53" s="111"/>
      <c r="D53" s="111"/>
      <c r="E53" s="111"/>
      <c r="F53" s="111"/>
      <c r="G53" s="111"/>
      <c r="H53" s="112"/>
      <c r="I53" s="125"/>
      <c r="J53" s="112"/>
      <c r="K53" s="115" t="b">
        <v>0</v>
      </c>
      <c r="L53" s="115" t="b">
        <v>0</v>
      </c>
      <c r="M53" s="115" t="b">
        <v>0</v>
      </c>
      <c r="N53" s="115" t="b">
        <v>0</v>
      </c>
      <c r="O53" s="115" t="b">
        <v>0</v>
      </c>
      <c r="P53" s="115" t="b">
        <v>0</v>
      </c>
      <c r="Q53" s="115" t="b">
        <v>0</v>
      </c>
      <c r="R53" s="115" t="b">
        <v>0</v>
      </c>
      <c r="S53" s="115" t="b">
        <v>0</v>
      </c>
      <c r="T53" s="115" t="b">
        <v>0</v>
      </c>
      <c r="U53" s="115" t="b">
        <v>0</v>
      </c>
      <c r="V53" s="115" t="b">
        <v>0</v>
      </c>
      <c r="W53" s="115" t="b">
        <v>0</v>
      </c>
      <c r="X53" s="115" t="b">
        <v>0</v>
      </c>
      <c r="Y53" s="115" t="b">
        <v>0</v>
      </c>
      <c r="Z53" s="115" t="b">
        <v>0</v>
      </c>
      <c r="AA53" s="115" t="b">
        <v>0</v>
      </c>
      <c r="AB53" s="115" t="b">
        <v>0</v>
      </c>
      <c r="AC53" s="115" t="b">
        <v>0</v>
      </c>
      <c r="AD53" s="115" t="b">
        <v>0</v>
      </c>
      <c r="AE53" s="115" t="b">
        <v>0</v>
      </c>
      <c r="AF53" s="115" t="b">
        <v>0</v>
      </c>
      <c r="AG53" s="115" t="b">
        <v>0</v>
      </c>
      <c r="AH53" s="115" t="b">
        <v>0</v>
      </c>
      <c r="AI53" s="115" t="b">
        <v>0</v>
      </c>
      <c r="AJ53" s="115" t="b">
        <v>0</v>
      </c>
      <c r="AK53" s="115" t="b">
        <v>0</v>
      </c>
      <c r="AL53" s="115" t="b">
        <v>0</v>
      </c>
      <c r="AM53" s="115" t="b">
        <v>0</v>
      </c>
      <c r="AN53" s="115" t="b">
        <v>0</v>
      </c>
      <c r="AO53" s="123" t="b">
        <v>0</v>
      </c>
      <c r="AP53" s="2"/>
      <c r="AQ53" s="117" t="str">
        <f t="shared" si="10"/>
        <v/>
      </c>
      <c r="AR53" s="118" t="str">
        <f t="shared" si="11"/>
        <v/>
      </c>
      <c r="AS53" s="119" t="str">
        <f t="shared" si="12"/>
        <v/>
      </c>
      <c r="AT53" s="120" t="str">
        <f>IFERROR(__xludf.DUMMYFUNCTION("IF(B53="""","""",SPARKLINE(AS53,{""charttype"", ""bar"";""max"",1;""color1"",""#fad5be""}))"),"")</f>
        <v/>
      </c>
      <c r="AU53" s="121"/>
      <c r="AV53" s="121"/>
      <c r="AW53" s="121"/>
      <c r="AX53" s="122"/>
      <c r="AY53" s="3">
        <f t="shared" si="13"/>
        <v>0</v>
      </c>
      <c r="AZ53" s="1"/>
      <c r="BA53" s="109"/>
      <c r="BB53" s="1"/>
      <c r="BC53" s="1"/>
      <c r="BD53" s="1"/>
      <c r="BE53" s="1"/>
      <c r="BF53" s="1"/>
      <c r="BG53" s="1"/>
      <c r="BH53" s="1"/>
      <c r="BI53" s="1"/>
      <c r="BJ53" s="1"/>
      <c r="BK53" s="30" t="str">
        <f t="shared" si="14"/>
        <v/>
      </c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ht="15.75" customHeight="1">
      <c r="A54" s="3">
        <v>20.0</v>
      </c>
      <c r="B54" s="124"/>
      <c r="C54" s="111"/>
      <c r="D54" s="111"/>
      <c r="E54" s="111"/>
      <c r="F54" s="111"/>
      <c r="G54" s="111"/>
      <c r="H54" s="112"/>
      <c r="I54" s="125"/>
      <c r="J54" s="112"/>
      <c r="K54" s="115" t="b">
        <v>0</v>
      </c>
      <c r="L54" s="115" t="b">
        <v>0</v>
      </c>
      <c r="M54" s="115" t="b">
        <v>0</v>
      </c>
      <c r="N54" s="115" t="b">
        <v>0</v>
      </c>
      <c r="O54" s="115" t="b">
        <v>0</v>
      </c>
      <c r="P54" s="115" t="b">
        <v>0</v>
      </c>
      <c r="Q54" s="115" t="b">
        <v>0</v>
      </c>
      <c r="R54" s="115" t="b">
        <v>0</v>
      </c>
      <c r="S54" s="115" t="b">
        <v>0</v>
      </c>
      <c r="T54" s="114" t="b">
        <v>0</v>
      </c>
      <c r="U54" s="115" t="b">
        <v>0</v>
      </c>
      <c r="V54" s="115" t="b">
        <v>0</v>
      </c>
      <c r="W54" s="115" t="b">
        <v>0</v>
      </c>
      <c r="X54" s="115" t="b">
        <v>0</v>
      </c>
      <c r="Y54" s="115" t="b">
        <v>0</v>
      </c>
      <c r="Z54" s="115" t="b">
        <v>0</v>
      </c>
      <c r="AA54" s="115" t="b">
        <v>0</v>
      </c>
      <c r="AB54" s="115" t="b">
        <v>0</v>
      </c>
      <c r="AC54" s="115" t="b">
        <v>0</v>
      </c>
      <c r="AD54" s="115" t="b">
        <v>0</v>
      </c>
      <c r="AE54" s="115" t="b">
        <v>0</v>
      </c>
      <c r="AF54" s="115" t="b">
        <v>0</v>
      </c>
      <c r="AG54" s="115" t="b">
        <v>0</v>
      </c>
      <c r="AH54" s="115" t="b">
        <v>0</v>
      </c>
      <c r="AI54" s="115" t="b">
        <v>0</v>
      </c>
      <c r="AJ54" s="115" t="b">
        <v>0</v>
      </c>
      <c r="AK54" s="115" t="b">
        <v>0</v>
      </c>
      <c r="AL54" s="115" t="b">
        <v>0</v>
      </c>
      <c r="AM54" s="115" t="b">
        <v>0</v>
      </c>
      <c r="AN54" s="115" t="b">
        <v>0</v>
      </c>
      <c r="AO54" s="123" t="b">
        <v>0</v>
      </c>
      <c r="AP54" s="2"/>
      <c r="AQ54" s="117" t="str">
        <f t="shared" si="10"/>
        <v/>
      </c>
      <c r="AR54" s="118" t="str">
        <f t="shared" si="11"/>
        <v/>
      </c>
      <c r="AS54" s="119" t="str">
        <f t="shared" si="12"/>
        <v/>
      </c>
      <c r="AT54" s="120" t="str">
        <f>IFERROR(__xludf.DUMMYFUNCTION("IF(B54="""","""",SPARKLINE(AS54,{""charttype"", ""bar"";""max"",1;""color1"",""#fad5be""}))"),"")</f>
        <v/>
      </c>
      <c r="AU54" s="121"/>
      <c r="AV54" s="121"/>
      <c r="AW54" s="121"/>
      <c r="AX54" s="122"/>
      <c r="AY54" s="3">
        <f t="shared" si="13"/>
        <v>0</v>
      </c>
      <c r="AZ54" s="1"/>
      <c r="BA54" s="109"/>
      <c r="BB54" s="1"/>
      <c r="BC54" s="1"/>
      <c r="BD54" s="1"/>
      <c r="BE54" s="1"/>
      <c r="BF54" s="1"/>
      <c r="BG54" s="1"/>
      <c r="BH54" s="1"/>
      <c r="BI54" s="1"/>
      <c r="BJ54" s="1"/>
      <c r="BK54" s="30" t="str">
        <f t="shared" si="14"/>
        <v/>
      </c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ht="15.75" customHeight="1">
      <c r="A55" s="3">
        <v>21.0</v>
      </c>
      <c r="B55" s="124"/>
      <c r="C55" s="111"/>
      <c r="D55" s="111"/>
      <c r="E55" s="111"/>
      <c r="F55" s="111"/>
      <c r="G55" s="111"/>
      <c r="H55" s="112"/>
      <c r="I55" s="125"/>
      <c r="J55" s="112"/>
      <c r="K55" s="114" t="b">
        <v>0</v>
      </c>
      <c r="L55" s="115" t="b">
        <v>0</v>
      </c>
      <c r="M55" s="115" t="b">
        <v>0</v>
      </c>
      <c r="N55" s="115" t="b">
        <v>0</v>
      </c>
      <c r="O55" s="115" t="b">
        <v>0</v>
      </c>
      <c r="P55" s="115" t="b">
        <v>0</v>
      </c>
      <c r="Q55" s="114" t="b">
        <v>0</v>
      </c>
      <c r="R55" s="115" t="b">
        <v>0</v>
      </c>
      <c r="S55" s="115" t="b">
        <v>0</v>
      </c>
      <c r="T55" s="115" t="b">
        <v>0</v>
      </c>
      <c r="U55" s="115" t="b">
        <v>0</v>
      </c>
      <c r="V55" s="115" t="b">
        <v>0</v>
      </c>
      <c r="W55" s="115" t="b">
        <v>0</v>
      </c>
      <c r="X55" s="115" t="b">
        <v>0</v>
      </c>
      <c r="Y55" s="115" t="b">
        <v>0</v>
      </c>
      <c r="Z55" s="115" t="b">
        <v>0</v>
      </c>
      <c r="AA55" s="115" t="b">
        <v>0</v>
      </c>
      <c r="AB55" s="115" t="b">
        <v>0</v>
      </c>
      <c r="AC55" s="115" t="b">
        <v>0</v>
      </c>
      <c r="AD55" s="115" t="b">
        <v>0</v>
      </c>
      <c r="AE55" s="115" t="b">
        <v>0</v>
      </c>
      <c r="AF55" s="115" t="b">
        <v>0</v>
      </c>
      <c r="AG55" s="115" t="b">
        <v>0</v>
      </c>
      <c r="AH55" s="115" t="b">
        <v>0</v>
      </c>
      <c r="AI55" s="115" t="b">
        <v>0</v>
      </c>
      <c r="AJ55" s="115" t="b">
        <v>0</v>
      </c>
      <c r="AK55" s="115" t="b">
        <v>0</v>
      </c>
      <c r="AL55" s="115" t="b">
        <v>0</v>
      </c>
      <c r="AM55" s="115" t="b">
        <v>0</v>
      </c>
      <c r="AN55" s="115" t="b">
        <v>0</v>
      </c>
      <c r="AO55" s="123" t="b">
        <v>0</v>
      </c>
      <c r="AP55" s="2"/>
      <c r="AQ55" s="117" t="str">
        <f t="shared" si="10"/>
        <v/>
      </c>
      <c r="AR55" s="118" t="str">
        <f t="shared" si="11"/>
        <v/>
      </c>
      <c r="AS55" s="119" t="str">
        <f t="shared" si="12"/>
        <v/>
      </c>
      <c r="AT55" s="120" t="str">
        <f>IFERROR(__xludf.DUMMYFUNCTION("IF(B55="""","""",SPARKLINE(AS55,{""charttype"", ""bar"";""max"",1;""color1"",""#fad5be""}))"),"")</f>
        <v/>
      </c>
      <c r="AU55" s="121"/>
      <c r="AV55" s="121"/>
      <c r="AW55" s="121"/>
      <c r="AX55" s="122"/>
      <c r="AY55" s="3">
        <f t="shared" si="13"/>
        <v>0</v>
      </c>
      <c r="AZ55" s="1"/>
      <c r="BA55" s="109"/>
      <c r="BB55" s="1"/>
      <c r="BC55" s="1"/>
      <c r="BD55" s="1"/>
      <c r="BE55" s="1"/>
      <c r="BF55" s="1"/>
      <c r="BG55" s="1"/>
      <c r="BH55" s="1"/>
      <c r="BI55" s="1"/>
      <c r="BJ55" s="1"/>
      <c r="BK55" s="30" t="str">
        <f t="shared" si="14"/>
        <v/>
      </c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ht="15.75" customHeight="1">
      <c r="A56" s="3">
        <v>22.0</v>
      </c>
      <c r="B56" s="124"/>
      <c r="C56" s="111"/>
      <c r="D56" s="111"/>
      <c r="E56" s="111"/>
      <c r="F56" s="111"/>
      <c r="G56" s="111"/>
      <c r="H56" s="112"/>
      <c r="I56" s="125"/>
      <c r="J56" s="112"/>
      <c r="K56" s="115" t="b">
        <v>0</v>
      </c>
      <c r="L56" s="115" t="b">
        <v>0</v>
      </c>
      <c r="M56" s="115" t="b">
        <v>0</v>
      </c>
      <c r="N56" s="115" t="b">
        <v>0</v>
      </c>
      <c r="O56" s="115" t="b">
        <v>0</v>
      </c>
      <c r="P56" s="115" t="b">
        <v>0</v>
      </c>
      <c r="Q56" s="115" t="b">
        <v>0</v>
      </c>
      <c r="R56" s="115" t="b">
        <v>0</v>
      </c>
      <c r="S56" s="115" t="b">
        <v>0</v>
      </c>
      <c r="T56" s="115" t="b">
        <v>0</v>
      </c>
      <c r="U56" s="115" t="b">
        <v>0</v>
      </c>
      <c r="V56" s="115" t="b">
        <v>0</v>
      </c>
      <c r="W56" s="115" t="b">
        <v>0</v>
      </c>
      <c r="X56" s="115" t="b">
        <v>0</v>
      </c>
      <c r="Y56" s="115" t="b">
        <v>0</v>
      </c>
      <c r="Z56" s="115" t="b">
        <v>0</v>
      </c>
      <c r="AA56" s="115" t="b">
        <v>0</v>
      </c>
      <c r="AB56" s="115" t="b">
        <v>0</v>
      </c>
      <c r="AC56" s="115" t="b">
        <v>0</v>
      </c>
      <c r="AD56" s="115" t="b">
        <v>0</v>
      </c>
      <c r="AE56" s="115" t="b">
        <v>0</v>
      </c>
      <c r="AF56" s="115" t="b">
        <v>0</v>
      </c>
      <c r="AG56" s="115" t="b">
        <v>0</v>
      </c>
      <c r="AH56" s="115" t="b">
        <v>0</v>
      </c>
      <c r="AI56" s="115" t="b">
        <v>0</v>
      </c>
      <c r="AJ56" s="115" t="b">
        <v>0</v>
      </c>
      <c r="AK56" s="115" t="b">
        <v>0</v>
      </c>
      <c r="AL56" s="115" t="b">
        <v>0</v>
      </c>
      <c r="AM56" s="115" t="b">
        <v>0</v>
      </c>
      <c r="AN56" s="115" t="b">
        <v>0</v>
      </c>
      <c r="AO56" s="123" t="b">
        <v>0</v>
      </c>
      <c r="AP56" s="2"/>
      <c r="AQ56" s="117" t="str">
        <f t="shared" si="10"/>
        <v/>
      </c>
      <c r="AR56" s="118" t="str">
        <f t="shared" si="11"/>
        <v/>
      </c>
      <c r="AS56" s="119" t="str">
        <f t="shared" si="12"/>
        <v/>
      </c>
      <c r="AT56" s="120" t="str">
        <f>IFERROR(__xludf.DUMMYFUNCTION("IF(B56="""","""",SPARKLINE(AS56,{""charttype"", ""bar"";""max"",1;""color1"",""#fad5be""}))"),"")</f>
        <v/>
      </c>
      <c r="AU56" s="121"/>
      <c r="AV56" s="121"/>
      <c r="AW56" s="121"/>
      <c r="AX56" s="122"/>
      <c r="AY56" s="3">
        <f t="shared" si="13"/>
        <v>0</v>
      </c>
      <c r="AZ56" s="1"/>
      <c r="BA56" s="109"/>
      <c r="BB56" s="1"/>
      <c r="BC56" s="1"/>
      <c r="BD56" s="1"/>
      <c r="BE56" s="1"/>
      <c r="BF56" s="1"/>
      <c r="BG56" s="1"/>
      <c r="BH56" s="1"/>
      <c r="BI56" s="1"/>
      <c r="BJ56" s="1"/>
      <c r="BK56" s="30" t="str">
        <f t="shared" si="14"/>
        <v/>
      </c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ht="15.75" customHeight="1">
      <c r="A57" s="3">
        <v>23.0</v>
      </c>
      <c r="B57" s="124"/>
      <c r="C57" s="111"/>
      <c r="D57" s="111"/>
      <c r="E57" s="111"/>
      <c r="F57" s="111"/>
      <c r="G57" s="111"/>
      <c r="H57" s="112"/>
      <c r="I57" s="125"/>
      <c r="J57" s="112"/>
      <c r="K57" s="115" t="b">
        <v>0</v>
      </c>
      <c r="L57" s="115" t="b">
        <v>0</v>
      </c>
      <c r="M57" s="115" t="b">
        <v>0</v>
      </c>
      <c r="N57" s="115" t="b">
        <v>0</v>
      </c>
      <c r="O57" s="115" t="b">
        <v>0</v>
      </c>
      <c r="P57" s="115" t="b">
        <v>0</v>
      </c>
      <c r="Q57" s="115" t="b">
        <v>0</v>
      </c>
      <c r="R57" s="115" t="b">
        <v>0</v>
      </c>
      <c r="S57" s="115" t="b">
        <v>0</v>
      </c>
      <c r="T57" s="115" t="b">
        <v>0</v>
      </c>
      <c r="U57" s="115" t="b">
        <v>0</v>
      </c>
      <c r="V57" s="115" t="b">
        <v>0</v>
      </c>
      <c r="W57" s="115" t="b">
        <v>0</v>
      </c>
      <c r="X57" s="115" t="b">
        <v>0</v>
      </c>
      <c r="Y57" s="115" t="b">
        <v>0</v>
      </c>
      <c r="Z57" s="115" t="b">
        <v>0</v>
      </c>
      <c r="AA57" s="115" t="b">
        <v>0</v>
      </c>
      <c r="AB57" s="115" t="b">
        <v>0</v>
      </c>
      <c r="AC57" s="115" t="b">
        <v>0</v>
      </c>
      <c r="AD57" s="115" t="b">
        <v>0</v>
      </c>
      <c r="AE57" s="115" t="b">
        <v>0</v>
      </c>
      <c r="AF57" s="115" t="b">
        <v>0</v>
      </c>
      <c r="AG57" s="115" t="b">
        <v>0</v>
      </c>
      <c r="AH57" s="115" t="b">
        <v>0</v>
      </c>
      <c r="AI57" s="115" t="b">
        <v>0</v>
      </c>
      <c r="AJ57" s="115" t="b">
        <v>0</v>
      </c>
      <c r="AK57" s="115" t="b">
        <v>0</v>
      </c>
      <c r="AL57" s="115" t="b">
        <v>0</v>
      </c>
      <c r="AM57" s="115" t="b">
        <v>0</v>
      </c>
      <c r="AN57" s="115" t="b">
        <v>0</v>
      </c>
      <c r="AO57" s="123" t="b">
        <v>0</v>
      </c>
      <c r="AP57" s="2"/>
      <c r="AQ57" s="117" t="str">
        <f t="shared" si="10"/>
        <v/>
      </c>
      <c r="AR57" s="118" t="str">
        <f t="shared" si="11"/>
        <v/>
      </c>
      <c r="AS57" s="119" t="str">
        <f t="shared" si="12"/>
        <v/>
      </c>
      <c r="AT57" s="120" t="str">
        <f>IFERROR(__xludf.DUMMYFUNCTION("IF(B57="""","""",SPARKLINE(AS57,{""charttype"", ""bar"";""max"",1;""color1"",""#fad5be""}))"),"")</f>
        <v/>
      </c>
      <c r="AU57" s="121"/>
      <c r="AV57" s="121"/>
      <c r="AW57" s="121"/>
      <c r="AX57" s="122"/>
      <c r="AY57" s="3">
        <f t="shared" si="13"/>
        <v>0</v>
      </c>
      <c r="AZ57" s="1"/>
      <c r="BA57" s="109"/>
      <c r="BB57" s="1"/>
      <c r="BC57" s="1"/>
      <c r="BD57" s="1"/>
      <c r="BE57" s="1"/>
      <c r="BF57" s="1"/>
      <c r="BG57" s="1"/>
      <c r="BH57" s="1"/>
      <c r="BI57" s="1"/>
      <c r="BJ57" s="1"/>
      <c r="BK57" s="30" t="str">
        <f t="shared" si="14"/>
        <v/>
      </c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ht="15.75" customHeight="1">
      <c r="A58" s="3">
        <v>24.0</v>
      </c>
      <c r="B58" s="124"/>
      <c r="C58" s="111"/>
      <c r="D58" s="111"/>
      <c r="E58" s="111"/>
      <c r="F58" s="111"/>
      <c r="G58" s="111"/>
      <c r="H58" s="112"/>
      <c r="I58" s="125"/>
      <c r="J58" s="112"/>
      <c r="K58" s="115" t="b">
        <v>0</v>
      </c>
      <c r="L58" s="115" t="b">
        <v>0</v>
      </c>
      <c r="M58" s="115" t="b">
        <v>0</v>
      </c>
      <c r="N58" s="115" t="b">
        <v>0</v>
      </c>
      <c r="O58" s="115" t="b">
        <v>0</v>
      </c>
      <c r="P58" s="115" t="b">
        <v>0</v>
      </c>
      <c r="Q58" s="115" t="b">
        <v>0</v>
      </c>
      <c r="R58" s="115" t="b">
        <v>0</v>
      </c>
      <c r="S58" s="115" t="b">
        <v>0</v>
      </c>
      <c r="T58" s="115" t="b">
        <v>0</v>
      </c>
      <c r="U58" s="115" t="b">
        <v>0</v>
      </c>
      <c r="V58" s="115" t="b">
        <v>0</v>
      </c>
      <c r="W58" s="115" t="b">
        <v>0</v>
      </c>
      <c r="X58" s="115" t="b">
        <v>0</v>
      </c>
      <c r="Y58" s="115" t="b">
        <v>0</v>
      </c>
      <c r="Z58" s="115" t="b">
        <v>0</v>
      </c>
      <c r="AA58" s="115" t="b">
        <v>0</v>
      </c>
      <c r="AB58" s="115" t="b">
        <v>0</v>
      </c>
      <c r="AC58" s="115" t="b">
        <v>0</v>
      </c>
      <c r="AD58" s="115" t="b">
        <v>0</v>
      </c>
      <c r="AE58" s="115" t="b">
        <v>0</v>
      </c>
      <c r="AF58" s="115" t="b">
        <v>0</v>
      </c>
      <c r="AG58" s="115" t="b">
        <v>0</v>
      </c>
      <c r="AH58" s="115" t="b">
        <v>0</v>
      </c>
      <c r="AI58" s="115" t="b">
        <v>0</v>
      </c>
      <c r="AJ58" s="115" t="b">
        <v>0</v>
      </c>
      <c r="AK58" s="115" t="b">
        <v>0</v>
      </c>
      <c r="AL58" s="115" t="b">
        <v>0</v>
      </c>
      <c r="AM58" s="115" t="b">
        <v>0</v>
      </c>
      <c r="AN58" s="115" t="b">
        <v>0</v>
      </c>
      <c r="AO58" s="123" t="b">
        <v>0</v>
      </c>
      <c r="AP58" s="2"/>
      <c r="AQ58" s="117" t="str">
        <f t="shared" si="10"/>
        <v/>
      </c>
      <c r="AR58" s="118" t="str">
        <f t="shared" si="11"/>
        <v/>
      </c>
      <c r="AS58" s="119" t="str">
        <f t="shared" si="12"/>
        <v/>
      </c>
      <c r="AT58" s="120" t="str">
        <f>IFERROR(__xludf.DUMMYFUNCTION("IF(B58="""","""",SPARKLINE(AS58,{""charttype"", ""bar"";""max"",1;""color1"",""#fad5be""}))"),"")</f>
        <v/>
      </c>
      <c r="AU58" s="121"/>
      <c r="AV58" s="121"/>
      <c r="AW58" s="121"/>
      <c r="AX58" s="122"/>
      <c r="AY58" s="3">
        <f t="shared" si="13"/>
        <v>0</v>
      </c>
      <c r="AZ58" s="1"/>
      <c r="BA58" s="109"/>
      <c r="BB58" s="1"/>
      <c r="BC58" s="1"/>
      <c r="BD58" s="1"/>
      <c r="BE58" s="1"/>
      <c r="BF58" s="1"/>
      <c r="BG58" s="1"/>
      <c r="BH58" s="1"/>
      <c r="BI58" s="1"/>
      <c r="BJ58" s="1"/>
      <c r="BK58" s="30" t="str">
        <f t="shared" si="14"/>
        <v/>
      </c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ht="15.75" customHeight="1">
      <c r="A59" s="3">
        <v>25.0</v>
      </c>
      <c r="B59" s="126"/>
      <c r="C59" s="127"/>
      <c r="D59" s="127"/>
      <c r="E59" s="127"/>
      <c r="F59" s="127"/>
      <c r="G59" s="127"/>
      <c r="H59" s="128"/>
      <c r="I59" s="129"/>
      <c r="J59" s="128"/>
      <c r="K59" s="130" t="b">
        <v>0</v>
      </c>
      <c r="L59" s="130" t="b">
        <v>0</v>
      </c>
      <c r="M59" s="130" t="b">
        <v>0</v>
      </c>
      <c r="N59" s="130" t="b">
        <v>0</v>
      </c>
      <c r="O59" s="130" t="b">
        <v>0</v>
      </c>
      <c r="P59" s="130" t="b">
        <v>0</v>
      </c>
      <c r="Q59" s="130" t="b">
        <v>0</v>
      </c>
      <c r="R59" s="130" t="b">
        <v>0</v>
      </c>
      <c r="S59" s="130" t="b">
        <v>0</v>
      </c>
      <c r="T59" s="130" t="b">
        <v>0</v>
      </c>
      <c r="U59" s="130" t="b">
        <v>0</v>
      </c>
      <c r="V59" s="130" t="b">
        <v>0</v>
      </c>
      <c r="W59" s="130" t="b">
        <v>0</v>
      </c>
      <c r="X59" s="130" t="b">
        <v>0</v>
      </c>
      <c r="Y59" s="130" t="b">
        <v>0</v>
      </c>
      <c r="Z59" s="130" t="b">
        <v>0</v>
      </c>
      <c r="AA59" s="130" t="b">
        <v>0</v>
      </c>
      <c r="AB59" s="130" t="b">
        <v>0</v>
      </c>
      <c r="AC59" s="130" t="b">
        <v>0</v>
      </c>
      <c r="AD59" s="130" t="b">
        <v>0</v>
      </c>
      <c r="AE59" s="130" t="b">
        <v>0</v>
      </c>
      <c r="AF59" s="130" t="b">
        <v>0</v>
      </c>
      <c r="AG59" s="130" t="b">
        <v>0</v>
      </c>
      <c r="AH59" s="130" t="b">
        <v>0</v>
      </c>
      <c r="AI59" s="130" t="b">
        <v>0</v>
      </c>
      <c r="AJ59" s="130" t="b">
        <v>0</v>
      </c>
      <c r="AK59" s="130" t="b">
        <v>0</v>
      </c>
      <c r="AL59" s="130" t="b">
        <v>0</v>
      </c>
      <c r="AM59" s="130" t="b">
        <v>0</v>
      </c>
      <c r="AN59" s="130" t="b">
        <v>0</v>
      </c>
      <c r="AO59" s="131" t="b">
        <v>0</v>
      </c>
      <c r="AP59" s="2"/>
      <c r="AQ59" s="132" t="str">
        <f t="shared" si="10"/>
        <v/>
      </c>
      <c r="AR59" s="133" t="str">
        <f t="shared" si="11"/>
        <v/>
      </c>
      <c r="AS59" s="134" t="str">
        <f t="shared" si="12"/>
        <v/>
      </c>
      <c r="AT59" s="135" t="str">
        <f>IFERROR(__xludf.DUMMYFUNCTION("IF(B59="""","""",SPARKLINE(AS59,{""charttype"", ""bar"";""max"",1;""color1"",""#fad5be""}))"),"")</f>
        <v/>
      </c>
      <c r="AU59" s="136"/>
      <c r="AV59" s="136"/>
      <c r="AW59" s="136"/>
      <c r="AX59" s="137"/>
      <c r="AY59" s="3">
        <f t="shared" si="13"/>
        <v>0</v>
      </c>
      <c r="AZ59" s="1"/>
      <c r="BA59" s="109"/>
      <c r="BB59" s="1"/>
      <c r="BC59" s="1"/>
      <c r="BD59" s="1"/>
      <c r="BE59" s="1"/>
      <c r="BF59" s="1"/>
      <c r="BG59" s="1"/>
      <c r="BH59" s="1"/>
      <c r="BI59" s="1"/>
      <c r="BJ59" s="1"/>
      <c r="BK59" s="30" t="str">
        <f t="shared" si="14"/>
        <v/>
      </c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ht="15.75" customHeight="1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ht="15.75" customHeight="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</row>
    <row r="63" ht="15.75" customHeight="1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ht="15.75" customHeight="1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ht="15.75" customHeight="1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ht="15.75" customHeight="1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ht="15.75" customHeight="1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ht="15.75" customHeight="1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ht="15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ht="15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ht="15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ht="15.75" customHeight="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ht="15.75" customHeight="1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ht="15.75" customHeight="1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ht="15.75" customHeight="1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ht="15.75" customHeight="1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ht="15.75" customHeight="1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ht="15.75" customHeight="1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ht="15.75" customHeight="1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ht="15.75" customHeight="1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ht="15.75" customHeight="1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ht="15.75" customHeight="1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ht="15.75" customHeight="1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ht="15.75" customHeight="1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ht="15.75" customHeight="1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ht="15.75" customHeight="1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Y1015" s="138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ht="15.75" customHeight="1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Y1016" s="138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</sheetData>
  <mergeCells count="142">
    <mergeCell ref="B2:H4"/>
    <mergeCell ref="AQ2:AX3"/>
    <mergeCell ref="AQ4:AX11"/>
    <mergeCell ref="B5:H6"/>
    <mergeCell ref="B9:H9"/>
    <mergeCell ref="B10:D10"/>
    <mergeCell ref="E10:H10"/>
    <mergeCell ref="K13:Q14"/>
    <mergeCell ref="K17:Q22"/>
    <mergeCell ref="R17:X22"/>
    <mergeCell ref="Y17:AE22"/>
    <mergeCell ref="AF17:AL22"/>
    <mergeCell ref="AM17:AO22"/>
    <mergeCell ref="B11:D11"/>
    <mergeCell ref="E11:H11"/>
    <mergeCell ref="B13:J16"/>
    <mergeCell ref="R13:X14"/>
    <mergeCell ref="Y13:AE14"/>
    <mergeCell ref="AF13:AL14"/>
    <mergeCell ref="B17:J19"/>
    <mergeCell ref="AR22:AX22"/>
    <mergeCell ref="AR23:AX23"/>
    <mergeCell ref="AR24:AX24"/>
    <mergeCell ref="AR25:AX25"/>
    <mergeCell ref="AR26:AX26"/>
    <mergeCell ref="AR27:AX27"/>
    <mergeCell ref="AQ28:AX28"/>
    <mergeCell ref="AM13:AO14"/>
    <mergeCell ref="AQ13:AX16"/>
    <mergeCell ref="AQ17:AX17"/>
    <mergeCell ref="AR18:AX18"/>
    <mergeCell ref="AR19:AX19"/>
    <mergeCell ref="AR20:AX20"/>
    <mergeCell ref="AR21:AX21"/>
    <mergeCell ref="R26:X26"/>
    <mergeCell ref="Y26:AE26"/>
    <mergeCell ref="AF26:AL26"/>
    <mergeCell ref="R27:X27"/>
    <mergeCell ref="Y27:AE27"/>
    <mergeCell ref="AF27:AL27"/>
    <mergeCell ref="K27:Q27"/>
    <mergeCell ref="K28:Q28"/>
    <mergeCell ref="R28:X28"/>
    <mergeCell ref="Y28:AE28"/>
    <mergeCell ref="AF28:AL28"/>
    <mergeCell ref="R29:X29"/>
    <mergeCell ref="Y29:AE29"/>
    <mergeCell ref="B44:H44"/>
    <mergeCell ref="I44:J44"/>
    <mergeCell ref="B45:H45"/>
    <mergeCell ref="I45:J45"/>
    <mergeCell ref="B46:H46"/>
    <mergeCell ref="I46:J46"/>
    <mergeCell ref="I47:J47"/>
    <mergeCell ref="B47:H47"/>
    <mergeCell ref="B48:H48"/>
    <mergeCell ref="I48:J48"/>
    <mergeCell ref="B49:H49"/>
    <mergeCell ref="I49:J49"/>
    <mergeCell ref="B50:H50"/>
    <mergeCell ref="I50:J50"/>
    <mergeCell ref="B51:H51"/>
    <mergeCell ref="I51:J51"/>
    <mergeCell ref="B52:H52"/>
    <mergeCell ref="I52:J52"/>
    <mergeCell ref="B53:H53"/>
    <mergeCell ref="I53:J53"/>
    <mergeCell ref="I54:J54"/>
    <mergeCell ref="B58:H58"/>
    <mergeCell ref="I58:J58"/>
    <mergeCell ref="B59:H59"/>
    <mergeCell ref="I59:J59"/>
    <mergeCell ref="B54:H54"/>
    <mergeCell ref="B55:H55"/>
    <mergeCell ref="I55:J55"/>
    <mergeCell ref="B56:H56"/>
    <mergeCell ref="I56:J56"/>
    <mergeCell ref="B57:H57"/>
    <mergeCell ref="I57:J57"/>
    <mergeCell ref="AT54:AX54"/>
    <mergeCell ref="AT55:AX55"/>
    <mergeCell ref="AT56:AX56"/>
    <mergeCell ref="AT57:AX57"/>
    <mergeCell ref="AT58:AX58"/>
    <mergeCell ref="AT59:AX59"/>
    <mergeCell ref="AT47:AX47"/>
    <mergeCell ref="AT48:AX48"/>
    <mergeCell ref="AT49:AX49"/>
    <mergeCell ref="AT50:AX50"/>
    <mergeCell ref="AT51:AX51"/>
    <mergeCell ref="AT52:AX52"/>
    <mergeCell ref="AT53:AX53"/>
    <mergeCell ref="B20:J20"/>
    <mergeCell ref="B21:J21"/>
    <mergeCell ref="B23:J23"/>
    <mergeCell ref="B24:J24"/>
    <mergeCell ref="B25:J25"/>
    <mergeCell ref="K26:Q26"/>
    <mergeCell ref="K29:Q29"/>
    <mergeCell ref="K31:Q32"/>
    <mergeCell ref="R31:X32"/>
    <mergeCell ref="Y31:AE32"/>
    <mergeCell ref="AF31:AL32"/>
    <mergeCell ref="AM31:AO32"/>
    <mergeCell ref="AQ31:AQ34"/>
    <mergeCell ref="AS31:AX31"/>
    <mergeCell ref="AT32:AX34"/>
    <mergeCell ref="B26:J28"/>
    <mergeCell ref="B31:H34"/>
    <mergeCell ref="I31:J34"/>
    <mergeCell ref="B35:H35"/>
    <mergeCell ref="I35:J35"/>
    <mergeCell ref="B36:H36"/>
    <mergeCell ref="I36:J36"/>
    <mergeCell ref="B37:H37"/>
    <mergeCell ref="I37:J37"/>
    <mergeCell ref="B38:H38"/>
    <mergeCell ref="I38:J38"/>
    <mergeCell ref="B39:H39"/>
    <mergeCell ref="I39:J39"/>
    <mergeCell ref="I40:J40"/>
    <mergeCell ref="AR31:AR34"/>
    <mergeCell ref="AS32:AS34"/>
    <mergeCell ref="AT35:AX35"/>
    <mergeCell ref="AT36:AX36"/>
    <mergeCell ref="AT37:AX37"/>
    <mergeCell ref="AT38:AX38"/>
    <mergeCell ref="AT39:AX39"/>
    <mergeCell ref="B40:H40"/>
    <mergeCell ref="B41:H41"/>
    <mergeCell ref="I41:J41"/>
    <mergeCell ref="B42:H42"/>
    <mergeCell ref="I42:J42"/>
    <mergeCell ref="B43:H43"/>
    <mergeCell ref="I43:J43"/>
    <mergeCell ref="AT40:AX40"/>
    <mergeCell ref="AT41:AX41"/>
    <mergeCell ref="AT42:AX42"/>
    <mergeCell ref="AT43:AX43"/>
    <mergeCell ref="AT44:AX44"/>
    <mergeCell ref="AT45:AX45"/>
    <mergeCell ref="AT46:AX46"/>
  </mergeCells>
  <dataValidations>
    <dataValidation type="list" allowBlank="1" showErrorMessage="1" sqref="E11">
      <formula1>'HABIT TRACKER'!$BB$1:$BB$12</formula1>
    </dataValidation>
  </dataValidations>
  <drawing r:id="rId1"/>
</worksheet>
</file>